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xkyh0\Gym-Track\"/>
    </mc:Choice>
  </mc:AlternateContent>
  <xr:revisionPtr revIDLastSave="0" documentId="13_ncr:1_{BC5B6D93-C400-4B58-BB4C-3ECDABD4494C}" xr6:coauthVersionLast="47" xr6:coauthVersionMax="47" xr10:uidLastSave="{00000000-0000-0000-0000-000000000000}"/>
  <bookViews>
    <workbookView xWindow="-108" yWindow="-108" windowWidth="23256" windowHeight="13176" xr2:uid="{00000000-000D-0000-FFFF-FFFF00000000}"/>
  </bookViews>
  <sheets>
    <sheet name="Calendar" sheetId="12" r:id="rId1"/>
    <sheet name="TAR Gym Log" sheetId="8" r:id="rId2"/>
    <sheet name="Sg Long Gym Log" sheetId="10" r:id="rId3"/>
    <sheet name="Control" sheetId="5" r:id="rId4"/>
    <sheet name="AIA Gym Log" sheetId="1" r:id="rId5"/>
    <sheet name="Dashboard (AIA Data)" sheetId="4" r:id="rId6"/>
    <sheet name="Protein" sheetId="6" r:id="rId7"/>
  </sheets>
  <externalReferences>
    <externalReference r:id="rId8"/>
  </externalReferences>
  <definedNames>
    <definedName name="ExerciseList" localSheetId="0">[1]!ExerciseDropdown[Exercise]</definedName>
    <definedName name="ExerciseList" localSheetId="2">ExerciseDropdown[Exercise]</definedName>
    <definedName name="ExerciseList" localSheetId="1">ExerciseDropdown[Exercise]</definedName>
    <definedName name="ExerciseList">ExerciseDropdown[Exercise]</definedName>
    <definedName name="ExerciseListSgLong" localSheetId="0">[1]!ExerciseDropdown[Exercise]</definedName>
    <definedName name="ExerciseListSgLong" localSheetId="2">ExerciseDropdown[Exercise]</definedName>
    <definedName name="ExerciseListSgLong">ExerciseDropdown[Exercise]</definedName>
    <definedName name="_xlnm.Print_Area" localSheetId="0">Calendar!$A$1:$G$22</definedName>
    <definedName name="Slicer_Exercise" localSheetId="0">#N/A</definedName>
    <definedName name="Slicer_Exercise">#N/A</definedName>
    <definedName name="Slicer_Unit" localSheetId="0">#N/A</definedName>
    <definedName name="Slicer_Unit">#N/A</definedName>
    <definedName name="UnitList" localSheetId="0">[1]!UnitDropdown[#Data]</definedName>
    <definedName name="UnitList" localSheetId="2">UnitDropdown[]</definedName>
    <definedName name="UnitList" localSheetId="1">UnitDropdown[]</definedName>
    <definedName name="UnitList">UnitDropdown[]</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2" l="1"/>
  <c r="A34" i="5"/>
  <c r="A35" i="5" s="1"/>
  <c r="A36" i="5" s="1"/>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I40" i="8"/>
  <c r="H40" i="8"/>
  <c r="I29" i="8"/>
  <c r="I30" i="8"/>
  <c r="I31" i="8"/>
  <c r="I32" i="8"/>
  <c r="I33" i="8"/>
  <c r="I34" i="8"/>
  <c r="I35" i="8"/>
  <c r="I36" i="8"/>
  <c r="I37" i="8"/>
  <c r="I38" i="8"/>
  <c r="I39" i="8"/>
  <c r="I41" i="8"/>
  <c r="I42" i="8"/>
  <c r="H29" i="8"/>
  <c r="H30" i="8"/>
  <c r="H31" i="8"/>
  <c r="H32" i="8"/>
  <c r="H33" i="8"/>
  <c r="H34" i="8"/>
  <c r="H35" i="8"/>
  <c r="H36" i="8"/>
  <c r="H37" i="8"/>
  <c r="H38" i="8"/>
  <c r="H39" i="8"/>
  <c r="H41" i="8"/>
  <c r="H42" i="8"/>
  <c r="H3" i="5"/>
  <c r="H2" i="5"/>
  <c r="I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H2" i="10"/>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I2" i="8"/>
  <c r="I3" i="8"/>
  <c r="I4" i="8"/>
  <c r="I5" i="8"/>
  <c r="I6" i="8"/>
  <c r="I7" i="8"/>
  <c r="I8" i="8"/>
  <c r="I9" i="8"/>
  <c r="I10" i="8"/>
  <c r="I11" i="8"/>
  <c r="I12" i="8"/>
  <c r="I13" i="8"/>
  <c r="I14" i="8"/>
  <c r="I15" i="8"/>
  <c r="I16" i="8"/>
  <c r="I17" i="8"/>
  <c r="I18" i="8"/>
  <c r="I19" i="8"/>
  <c r="I20" i="8"/>
  <c r="I21" i="8"/>
  <c r="I22" i="8"/>
  <c r="I23" i="8"/>
  <c r="I24" i="8"/>
  <c r="I25" i="8"/>
  <c r="I26" i="8"/>
  <c r="I27" i="8"/>
  <c r="I28" i="8"/>
  <c r="H2" i="8"/>
  <c r="H3" i="8"/>
  <c r="H4" i="8"/>
  <c r="H5" i="8"/>
  <c r="H6" i="8"/>
  <c r="H7" i="8"/>
  <c r="H8" i="8"/>
  <c r="H9" i="8"/>
  <c r="H10" i="8"/>
  <c r="H11" i="8"/>
  <c r="H12" i="8"/>
  <c r="H13" i="8"/>
  <c r="H14" i="8"/>
  <c r="H15" i="8"/>
  <c r="H16" i="8"/>
  <c r="H17" i="8"/>
  <c r="H18" i="8"/>
  <c r="H19" i="8"/>
  <c r="H20" i="8"/>
  <c r="H21" i="8"/>
  <c r="H22" i="8"/>
  <c r="H23" i="8"/>
  <c r="H24" i="8"/>
  <c r="H25" i="8"/>
  <c r="H26" i="8"/>
  <c r="H27" i="8"/>
  <c r="H28" i="8"/>
  <c r="B124" i="1"/>
  <c r="B125" i="1"/>
  <c r="B126" i="1"/>
  <c r="B127" i="1"/>
  <c r="B128" i="1"/>
  <c r="B129" i="1"/>
  <c r="B130" i="1"/>
  <c r="B131" i="1"/>
  <c r="H124" i="1"/>
  <c r="H125" i="1"/>
  <c r="H126" i="1"/>
  <c r="H127" i="1"/>
  <c r="H128" i="1"/>
  <c r="H129" i="1"/>
  <c r="H130" i="1"/>
  <c r="H131" i="1"/>
  <c r="I124" i="1"/>
  <c r="I125" i="1"/>
  <c r="I126" i="1"/>
  <c r="I127" i="1"/>
  <c r="I128" i="1"/>
  <c r="I129" i="1"/>
  <c r="I130" i="1"/>
  <c r="I131" i="1"/>
  <c r="H118" i="1"/>
  <c r="B115" i="1"/>
  <c r="B116" i="1"/>
  <c r="B117" i="1"/>
  <c r="B118" i="1"/>
  <c r="B119" i="1"/>
  <c r="B120" i="1"/>
  <c r="B121" i="1"/>
  <c r="B122" i="1"/>
  <c r="B123" i="1"/>
  <c r="H115" i="1"/>
  <c r="H116" i="1"/>
  <c r="H117" i="1"/>
  <c r="H119" i="1"/>
  <c r="H120" i="1"/>
  <c r="H121" i="1"/>
  <c r="H122" i="1"/>
  <c r="H123" i="1"/>
  <c r="I115" i="1"/>
  <c r="I116" i="1"/>
  <c r="I117" i="1"/>
  <c r="I118" i="1"/>
  <c r="I119" i="1"/>
  <c r="I120" i="1"/>
  <c r="I121" i="1"/>
  <c r="I122" i="1"/>
  <c r="I123" i="1"/>
  <c r="B106" i="1"/>
  <c r="B107" i="1"/>
  <c r="B108" i="1"/>
  <c r="B109" i="1"/>
  <c r="B110" i="1"/>
  <c r="B111" i="1"/>
  <c r="B112" i="1"/>
  <c r="B113" i="1"/>
  <c r="B114" i="1"/>
  <c r="H106" i="1"/>
  <c r="H107" i="1"/>
  <c r="H108" i="1"/>
  <c r="H109" i="1"/>
  <c r="H110" i="1"/>
  <c r="H111" i="1"/>
  <c r="H112" i="1"/>
  <c r="H113" i="1"/>
  <c r="H114" i="1"/>
  <c r="I106" i="1"/>
  <c r="I107" i="1"/>
  <c r="I108" i="1"/>
  <c r="I109" i="1"/>
  <c r="I110" i="1"/>
  <c r="I111" i="1"/>
  <c r="I112" i="1"/>
  <c r="I113" i="1"/>
  <c r="I114" i="1"/>
  <c r="H2"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E6" i="12" l="1"/>
  <c r="E14" i="12"/>
  <c r="A14" i="12"/>
  <c r="D12" i="12"/>
  <c r="D9" i="12"/>
  <c r="A4" i="12"/>
  <c r="G11" i="12"/>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I105" i="1"/>
  <c r="I104" i="1"/>
  <c r="I103" i="1"/>
  <c r="I102" i="1"/>
  <c r="I101" i="1"/>
  <c r="I100" i="1"/>
  <c r="I99" i="1"/>
  <c r="I98" i="1"/>
  <c r="I97" i="1"/>
  <c r="I96" i="1"/>
  <c r="I95" i="1"/>
  <c r="I94" i="1"/>
  <c r="I93" i="1"/>
  <c r="I92" i="1"/>
  <c r="I91" i="1"/>
  <c r="I90" i="1"/>
  <c r="I89" i="1"/>
  <c r="B1" i="4"/>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E9" i="12" l="1"/>
  <c r="F12" i="12"/>
  <c r="A12" i="12"/>
  <c r="B14" i="12"/>
  <c r="B9" i="12"/>
  <c r="F10" i="12"/>
  <c r="F13" i="12"/>
  <c r="C14" i="12"/>
  <c r="D13" i="12"/>
  <c r="E13" i="12"/>
  <c r="D10" i="12"/>
  <c r="B10" i="12"/>
  <c r="G13" i="12"/>
  <c r="B13" i="12"/>
  <c r="C11" i="12"/>
  <c r="G12" i="12"/>
  <c r="E10" i="12"/>
  <c r="A11" i="12"/>
  <c r="D11" i="12"/>
  <c r="C9" i="12"/>
  <c r="E12" i="12"/>
  <c r="D14" i="12"/>
  <c r="G10" i="12"/>
  <c r="F9" i="12"/>
  <c r="F11" i="12"/>
  <c r="F14" i="12"/>
  <c r="C12" i="12"/>
  <c r="B11" i="12"/>
  <c r="C10" i="12"/>
  <c r="G14" i="12"/>
  <c r="A10" i="12"/>
  <c r="B12" i="12"/>
  <c r="C13" i="12"/>
  <c r="A9" i="12"/>
  <c r="E11" i="12"/>
  <c r="A13" i="12"/>
  <c r="G9" i="12"/>
</calcChain>
</file>

<file path=xl/sharedStrings.xml><?xml version="1.0" encoding="utf-8"?>
<sst xmlns="http://schemas.openxmlformats.org/spreadsheetml/2006/main" count="616" uniqueCount="146">
  <si>
    <t>Exercise</t>
  </si>
  <si>
    <t>Notes</t>
  </si>
  <si>
    <t>Leg Extension</t>
  </si>
  <si>
    <t>Chest Press</t>
  </si>
  <si>
    <t>Seated Row</t>
  </si>
  <si>
    <t>Lat Pulldown</t>
  </si>
  <si>
    <t>Shoulder Press</t>
  </si>
  <si>
    <t>Most difficult exercise</t>
  </si>
  <si>
    <t>Leg Press</t>
  </si>
  <si>
    <t>Shoulder involvement noticed</t>
  </si>
  <si>
    <t>Bicep Curl</t>
  </si>
  <si>
    <t>Left hand only 5 reps on 3rd set</t>
  </si>
  <si>
    <t>Hex Press Negative</t>
  </si>
  <si>
    <t>Hammer Curl</t>
  </si>
  <si>
    <t>Reverse Curl</t>
  </si>
  <si>
    <t>Bodyweight</t>
  </si>
  <si>
    <t>Date (DAY)</t>
  </si>
  <si>
    <t>Cut activity, weight and reps. bcs still sick and next day competition. Start control breathing</t>
  </si>
  <si>
    <t>start feel less pressure can up weight</t>
  </si>
  <si>
    <t>only first set is 165lbs</t>
  </si>
  <si>
    <t>notice left shoulder is helping</t>
  </si>
  <si>
    <t>not sure to  grip wide or middle.</t>
  </si>
  <si>
    <t>didt back to fully start position</t>
  </si>
  <si>
    <t xml:space="preserve">third set 8 rep while fell a bit cramp at muscle above knee </t>
  </si>
  <si>
    <t>Bicep curl</t>
  </si>
  <si>
    <t>Ready for next increase</t>
  </si>
  <si>
    <t>Back to seated position</t>
  </si>
  <si>
    <t>Unit</t>
  </si>
  <si>
    <t>Weight Value</t>
  </si>
  <si>
    <t>kg</t>
  </si>
  <si>
    <t>lbs</t>
  </si>
  <si>
    <t>Reps</t>
  </si>
  <si>
    <t>Sets</t>
  </si>
  <si>
    <t>only first set is 50lbs</t>
  </si>
  <si>
    <t>only first set is 22.5lbs</t>
  </si>
  <si>
    <t>only last set is 60lbs</t>
  </si>
  <si>
    <t>only last set is 30lbs</t>
  </si>
  <si>
    <t>forth set only 8 rep</t>
  </si>
  <si>
    <t>1st set 10 reps then 8 then 7. left side cannot fully up</t>
  </si>
  <si>
    <t>Back to seated position, can attempt 12 reps/6kg next session</t>
  </si>
  <si>
    <t>adjusted the curl angle to stright up to shoulder instead of chest</t>
  </si>
  <si>
    <t>First gym session, weight is not recorded. only remember dumbell weight 6kg but suffer for left hand.</t>
  </si>
  <si>
    <t>N/A</t>
  </si>
  <si>
    <t>Bodyweight. using hip flexors, need adjust</t>
  </si>
  <si>
    <t>Bodyweight. Ab cramps during exercise, with sit-up bench full strech</t>
  </si>
  <si>
    <t>Rope Tricep Pressdown</t>
  </si>
  <si>
    <t>Using Pressdown bar feel easier</t>
  </si>
  <si>
    <t>Use tricep rope handle</t>
  </si>
  <si>
    <t>Sit Up</t>
  </si>
  <si>
    <t>Standing version position, feel more easier</t>
  </si>
  <si>
    <t>Row Labels</t>
  </si>
  <si>
    <t>Grand Total</t>
  </si>
  <si>
    <t xml:space="preserve">Total Session = </t>
  </si>
  <si>
    <t>forth set 8 rep</t>
  </si>
  <si>
    <t>first set 10 rep</t>
  </si>
  <si>
    <t>can try 12 rep next session</t>
  </si>
  <si>
    <t>Volumn</t>
  </si>
  <si>
    <t>Sum of Volumn</t>
  </si>
  <si>
    <t xml:space="preserve">Wrong see Lat previous weight, but found out actually can </t>
  </si>
  <si>
    <t>start with one set 17.5lbs 12 rep</t>
  </si>
  <si>
    <t>Display Date</t>
  </si>
  <si>
    <t>Load</t>
  </si>
  <si>
    <t>Weight</t>
  </si>
  <si>
    <t>incresed ROM (Range of motoin), more harder</t>
  </si>
  <si>
    <t>first set 12 rep</t>
  </si>
  <si>
    <t>Load (Set*Rep)</t>
  </si>
  <si>
    <t>last set - 8 rep</t>
  </si>
  <si>
    <t>suffer on last 2 sen for last 2 rep</t>
  </si>
  <si>
    <t>left shoulder moving back</t>
  </si>
  <si>
    <t>inclene reduce</t>
  </si>
  <si>
    <t>1.6 - 2.2 g protein per kg</t>
  </si>
  <si>
    <t>How much need:</t>
  </si>
  <si>
    <t>If 60kg then need 120g protein/day</t>
  </si>
  <si>
    <t>Food</t>
  </si>
  <si>
    <t>Portion</t>
  </si>
  <si>
    <t>Protein</t>
  </si>
  <si>
    <t xml:space="preserve">Egg </t>
  </si>
  <si>
    <t xml:space="preserve">6g </t>
  </si>
  <si>
    <t>Milk</t>
  </si>
  <si>
    <t>300 ml</t>
  </si>
  <si>
    <t>8g</t>
  </si>
  <si>
    <t>Chicken</t>
  </si>
  <si>
    <t>150g
200g</t>
  </si>
  <si>
    <t>40-45g
50-55g</t>
  </si>
  <si>
    <t xml:space="preserve">Fish </t>
  </si>
  <si>
    <t>30g
40g</t>
  </si>
  <si>
    <t>Banana</t>
  </si>
  <si>
    <t>1 - 1.5g</t>
  </si>
  <si>
    <t>last 2 rep still hard</t>
  </si>
  <si>
    <t>new machine more wider movement harder</t>
  </si>
  <si>
    <t>new machine, is not converging, more easier</t>
  </si>
  <si>
    <t>Pec Fly Backward</t>
  </si>
  <si>
    <t>Pec Fly Frontward</t>
  </si>
  <si>
    <t>Iso Lateral Row</t>
  </si>
  <si>
    <t>T Bar Row</t>
  </si>
  <si>
    <t>Try 2 differrent grip</t>
  </si>
  <si>
    <t>New machine - multi press</t>
  </si>
  <si>
    <t>Incline Press</t>
  </si>
  <si>
    <t>High Pully</t>
  </si>
  <si>
    <t>Low Pully</t>
  </si>
  <si>
    <t>Same machine - multi press, but adjust the seat 125 degree, work like shoulder press</t>
  </si>
  <si>
    <t>Last set come back after pully</t>
  </si>
  <si>
    <t>Work like chest press</t>
  </si>
  <si>
    <t>Input</t>
  </si>
  <si>
    <t>Output</t>
  </si>
  <si>
    <t>Kg</t>
  </si>
  <si>
    <t xml:space="preserve">Row </t>
  </si>
  <si>
    <t>=</t>
  </si>
  <si>
    <t>reps - 6,5,4</t>
  </si>
  <si>
    <t>Iso Lateral Chest Press</t>
  </si>
  <si>
    <t>Drop weight feel too hard</t>
  </si>
  <si>
    <t>🏋 Gym Attendance Calendar</t>
  </si>
  <si>
    <t>internal calc - do not edit</t>
  </si>
  <si>
    <t>Attendance Log (edit Status here)</t>
  </si>
  <si>
    <t>January</t>
  </si>
  <si>
    <t>Date</t>
  </si>
  <si>
    <t>Day</t>
  </si>
  <si>
    <t>Status</t>
  </si>
  <si>
    <t>February</t>
  </si>
  <si>
    <t>Year:</t>
  </si>
  <si>
    <t>Month:</t>
  </si>
  <si>
    <t>June</t>
  </si>
  <si>
    <t>March</t>
  </si>
  <si>
    <t>April</t>
  </si>
  <si>
    <t>May</t>
  </si>
  <si>
    <t>Gym Days:</t>
  </si>
  <si>
    <t>July</t>
  </si>
  <si>
    <t>Sun</t>
  </si>
  <si>
    <t>Mon</t>
  </si>
  <si>
    <t>Tue</t>
  </si>
  <si>
    <t>Wed</t>
  </si>
  <si>
    <t>Thu</t>
  </si>
  <si>
    <t>Fri</t>
  </si>
  <si>
    <t>Sat</t>
  </si>
  <si>
    <t>August</t>
  </si>
  <si>
    <t>September</t>
  </si>
  <si>
    <t>October</t>
  </si>
  <si>
    <t>November</t>
  </si>
  <si>
    <t>December</t>
  </si>
  <si>
    <t>Legend:</t>
  </si>
  <si>
    <t xml:space="preserve">  </t>
  </si>
  <si>
    <t>Gym day</t>
  </si>
  <si>
    <t>Today</t>
  </si>
  <si>
    <t>Gym</t>
  </si>
  <si>
    <t>Total Session:</t>
  </si>
  <si>
    <t>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</si>
</sst>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800]dddd\,\ mmmm\ dd\,\ yyyy"/>
    <numFmt numFmtId="165" formatCode="dd\ mmm\ \(ddd\)"/>
    <numFmt numFmtId="166" formatCode="yyyy\-mm\-dd"/>
    <numFmt numFmtId="167" formatCode="mm/dd/yy"/>
    <numFmt numFmtId="168" formatCode="d"/>
  </numFmts>
  <fonts count="19" x14ac:knownFonts="1">
    <font>
      <sz val="11"/>
      <color theme="1"/>
      <name val="Calibri"/>
      <family val="2"/>
      <scheme val="minor"/>
    </font>
    <font>
      <b/>
      <sz val="11"/>
      <name val="Calibri"/>
    </font>
    <font>
      <sz val="8"/>
      <name val="Calibri"/>
      <family val="2"/>
      <scheme val="minor"/>
    </font>
    <font>
      <sz val="11"/>
      <color rgb="FF000000"/>
      <name val="Calibri"/>
      <family val="2"/>
      <scheme val="minor"/>
    </font>
    <font>
      <b/>
      <sz val="11"/>
      <name val="Calibri"/>
      <family val="2"/>
    </font>
    <font>
      <b/>
      <sz val="11"/>
      <color theme="1"/>
      <name val="Calibri"/>
      <family val="2"/>
      <scheme val="minor"/>
    </font>
    <font>
      <sz val="11"/>
      <name val="Calibri"/>
      <family val="2"/>
      <scheme val="minor"/>
    </font>
    <font>
      <sz val="11"/>
      <color rgb="FF006100"/>
      <name val="Calibri"/>
      <family val="2"/>
      <scheme val="minor"/>
    </font>
    <font>
      <sz val="11"/>
      <color theme="1"/>
      <name val="Calibri"/>
      <family val="2"/>
      <charset val="1"/>
    </font>
    <font>
      <b/>
      <sz val="18"/>
      <color rgb="FF1F4E78"/>
      <name val="Calibri"/>
      <charset val="1"/>
    </font>
    <font>
      <i/>
      <sz val="9"/>
      <color rgb="FF808080"/>
      <name val="Calibri"/>
      <charset val="1"/>
    </font>
    <font>
      <b/>
      <sz val="11"/>
      <color rgb="FFFFFFFF"/>
      <name val="Calibri"/>
      <charset val="1"/>
    </font>
    <font>
      <b/>
      <sz val="11"/>
      <name val="Calibri"/>
      <charset val="1"/>
    </font>
    <font>
      <b/>
      <sz val="12"/>
      <name val="Calibri"/>
      <charset val="1"/>
    </font>
    <font>
      <sz val="10"/>
      <name val="Calibri"/>
      <charset val="1"/>
    </font>
    <font>
      <b/>
      <sz val="16"/>
      <color rgb="FFFFFFFF"/>
      <name val="Calibri"/>
      <charset val="1"/>
    </font>
    <font>
      <b/>
      <sz val="11"/>
      <color rgb="FF1F4E78"/>
      <name val="Calibri"/>
      <charset val="1"/>
    </font>
    <font>
      <b/>
      <sz val="14"/>
      <color rgb="FF2E7D32"/>
      <name val="Calibri"/>
      <charset val="1"/>
    </font>
    <font>
      <b/>
      <sz val="13"/>
      <color rgb="FF000000"/>
      <name val="Calibri"/>
      <charset val="1"/>
    </font>
  </fonts>
  <fills count="1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tint="0.79998168889431442"/>
      </patternFill>
    </fill>
    <fill>
      <patternFill patternType="solid">
        <fgColor rgb="FFC6EFCE"/>
      </patternFill>
    </fill>
    <fill>
      <patternFill patternType="solid">
        <fgColor rgb="FF1F4E78"/>
        <bgColor rgb="FF003366"/>
      </patternFill>
    </fill>
    <fill>
      <patternFill patternType="solid">
        <fgColor rgb="FFD9E2F3"/>
        <bgColor rgb="FFDCE6F2"/>
      </patternFill>
    </fill>
    <fill>
      <patternFill patternType="solid">
        <fgColor rgb="FFFFFFFF"/>
        <bgColor rgb="FFF2F2F2"/>
      </patternFill>
    </fill>
    <fill>
      <patternFill patternType="solid">
        <fgColor rgb="FF2E75B6"/>
        <bgColor rgb="FF4F81BD"/>
      </patternFill>
    </fill>
    <fill>
      <patternFill patternType="solid">
        <fgColor rgb="FFF2F2F2"/>
        <bgColor rgb="FFFFFFFF"/>
      </patternFill>
    </fill>
    <fill>
      <patternFill patternType="solid">
        <fgColor rgb="FFC6EFCE"/>
        <bgColor rgb="FFDCE6F2"/>
      </patternFill>
    </fill>
    <fill>
      <patternFill patternType="solid">
        <fgColor rgb="FFFFF2CC"/>
        <bgColor rgb="FFF2F2F2"/>
      </patternFill>
    </fill>
  </fills>
  <borders count="7">
    <border>
      <left/>
      <right/>
      <top/>
      <bottom/>
      <diagonal/>
    </border>
    <border>
      <left/>
      <right/>
      <top style="thin">
        <color theme="0"/>
      </top>
      <bottom style="thin">
        <color theme="0"/>
      </bottom>
      <diagonal/>
    </border>
    <border>
      <left/>
      <right/>
      <top style="thin">
        <color theme="0"/>
      </top>
      <bottom/>
      <diagonal/>
    </border>
    <border>
      <left/>
      <right/>
      <top/>
      <bottom style="thin">
        <color theme="0"/>
      </bottom>
      <diagonal/>
    </border>
    <border>
      <left style="thin">
        <color rgb="FFBFBFBF"/>
      </left>
      <right style="thin">
        <color rgb="FFBFBFBF"/>
      </right>
      <top style="thin">
        <color rgb="FFBFBFBF"/>
      </top>
      <bottom style="thin">
        <color rgb="FFBFBFBF"/>
      </bottom>
      <diagonal/>
    </border>
    <border>
      <left style="thick">
        <color rgb="FF2E75B6"/>
      </left>
      <right style="thick">
        <color rgb="FF2E75B6"/>
      </right>
      <top style="thick">
        <color rgb="FF2E75B6"/>
      </top>
      <bottom style="thick">
        <color rgb="FF2E75B6"/>
      </bottom>
      <diagonal/>
    </border>
    <border>
      <left style="thin">
        <color rgb="FFBFBFBF"/>
      </left>
      <right/>
      <top style="thin">
        <color rgb="FFBFBFBF"/>
      </top>
      <bottom style="thin">
        <color rgb="FFBFBFBF"/>
      </bottom>
      <diagonal/>
    </border>
  </borders>
  <cellStyleXfs count="3">
    <xf numFmtId="0" fontId="0" fillId="0" borderId="0"/>
    <xf numFmtId="0" fontId="7" fillId="6" borderId="0" applyNumberFormat="0" applyBorder="0" applyAlignment="0" applyProtection="0"/>
    <xf numFmtId="0" fontId="8" fillId="0" borderId="0"/>
  </cellStyleXfs>
  <cellXfs count="71">
    <xf numFmtId="0" fontId="0" fillId="0" borderId="0" xfId="0"/>
    <xf numFmtId="0" fontId="1" fillId="0" borderId="0" xfId="0" applyFont="1"/>
    <xf numFmtId="0" fontId="3" fillId="0" borderId="0" xfId="0" applyFont="1"/>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top"/>
    </xf>
    <xf numFmtId="0" fontId="3" fillId="0" borderId="0" xfId="0" applyFont="1" applyAlignment="1">
      <alignment horizontal="left"/>
    </xf>
    <xf numFmtId="0" fontId="3" fillId="0" borderId="0" xfId="0" applyFont="1" applyAlignment="1">
      <alignment horizontal="left" wrapText="1"/>
    </xf>
    <xf numFmtId="0" fontId="0" fillId="0" borderId="0" xfId="0" applyAlignment="1">
      <alignment vertical="center"/>
    </xf>
    <xf numFmtId="0" fontId="0" fillId="0" borderId="0" xfId="0" applyAlignment="1">
      <alignment horizontal="left"/>
    </xf>
    <xf numFmtId="0" fontId="0" fillId="0" borderId="0" xfId="0" applyAlignment="1">
      <alignment horizontal="left" vertical="top"/>
    </xf>
    <xf numFmtId="0" fontId="4" fillId="0" borderId="0" xfId="0" applyFont="1"/>
    <xf numFmtId="164" fontId="1" fillId="0" borderId="0" xfId="0" applyNumberFormat="1" applyFont="1"/>
    <xf numFmtId="164" fontId="0" fillId="0" borderId="0" xfId="0" applyNumberFormat="1"/>
    <xf numFmtId="165" fontId="0" fillId="0" borderId="0" xfId="0" applyNumberFormat="1" applyAlignment="1">
      <alignment horizontal="center" vertical="center"/>
    </xf>
    <xf numFmtId="165" fontId="0" fillId="0" borderId="0" xfId="0" applyNumberFormat="1" applyAlignment="1">
      <alignment horizontal="left"/>
    </xf>
    <xf numFmtId="165" fontId="3" fillId="0" borderId="0" xfId="0" applyNumberFormat="1" applyFont="1" applyAlignment="1">
      <alignment horizontal="center" vertical="center" wrapText="1"/>
    </xf>
    <xf numFmtId="0" fontId="3" fillId="0" borderId="0" xfId="0" applyFont="1" applyAlignment="1">
      <alignment vertical="center"/>
    </xf>
    <xf numFmtId="164" fontId="4" fillId="0" borderId="0" xfId="0" applyNumberFormat="1" applyFont="1"/>
    <xf numFmtId="0" fontId="0" fillId="0" borderId="0" xfId="0" pivotButton="1"/>
    <xf numFmtId="0" fontId="5" fillId="0" borderId="0" xfId="0" applyFont="1"/>
    <xf numFmtId="0" fontId="5" fillId="2" borderId="0" xfId="0" applyFont="1" applyFill="1" applyAlignment="1">
      <alignment horizontal="center" vertical="center"/>
    </xf>
    <xf numFmtId="0" fontId="0" fillId="0" borderId="0" xfId="0" applyAlignment="1">
      <alignment horizontal="left" vertical="center"/>
    </xf>
    <xf numFmtId="0" fontId="3" fillId="3" borderId="1" xfId="0" applyFont="1" applyFill="1" applyBorder="1"/>
    <xf numFmtId="0" fontId="3" fillId="4" borderId="1" xfId="0" applyFont="1" applyFill="1" applyBorder="1"/>
    <xf numFmtId="0" fontId="3" fillId="3" borderId="1" xfId="0" applyFont="1" applyFill="1" applyBorder="1" applyAlignment="1">
      <alignment vertical="center"/>
    </xf>
    <xf numFmtId="0" fontId="0" fillId="4" borderId="1" xfId="0" applyFill="1" applyBorder="1" applyAlignment="1">
      <alignment vertical="center"/>
    </xf>
    <xf numFmtId="0" fontId="0" fillId="3" borderId="1" xfId="0" applyFill="1" applyBorder="1"/>
    <xf numFmtId="0" fontId="0" fillId="4" borderId="2" xfId="0" applyFill="1" applyBorder="1"/>
    <xf numFmtId="0" fontId="3" fillId="5" borderId="3" xfId="0" applyFont="1" applyFill="1" applyBorder="1"/>
    <xf numFmtId="0" fontId="6" fillId="0" borderId="0" xfId="0" applyFont="1"/>
    <xf numFmtId="0" fontId="0" fillId="0" borderId="0" xfId="0" applyAlignment="1">
      <alignment wrapText="1"/>
    </xf>
    <xf numFmtId="0" fontId="0" fillId="0" borderId="0" xfId="0" applyAlignment="1">
      <alignment horizontal="left" wrapText="1"/>
    </xf>
    <xf numFmtId="164" fontId="7" fillId="6" borderId="0" xfId="1" applyNumberFormat="1"/>
    <xf numFmtId="0" fontId="7" fillId="6" borderId="0" xfId="1"/>
    <xf numFmtId="165" fontId="7" fillId="6" borderId="0" xfId="1" applyNumberFormat="1" applyAlignment="1">
      <alignment horizontal="center" vertical="center"/>
    </xf>
    <xf numFmtId="0" fontId="7" fillId="6" borderId="0" xfId="1" applyAlignment="1">
      <alignment horizontal="left" vertical="center" wrapText="1"/>
    </xf>
    <xf numFmtId="0" fontId="7" fillId="6" borderId="0" xfId="1" applyAlignment="1">
      <alignment horizontal="left"/>
    </xf>
    <xf numFmtId="0" fontId="7" fillId="6" borderId="0" xfId="1" applyAlignment="1">
      <alignment vertical="center"/>
    </xf>
    <xf numFmtId="0" fontId="7" fillId="6" borderId="0" xfId="1" applyAlignment="1">
      <alignment horizontal="left" wrapText="1"/>
    </xf>
    <xf numFmtId="165" fontId="7" fillId="6" borderId="0" xfId="1" applyNumberFormat="1" applyAlignment="1">
      <alignment horizontal="center" vertical="center" wrapText="1"/>
    </xf>
    <xf numFmtId="165" fontId="6" fillId="6" borderId="0" xfId="1" applyNumberFormat="1" applyFont="1" applyAlignment="1">
      <alignment horizontal="center" vertical="center"/>
    </xf>
    <xf numFmtId="0" fontId="6" fillId="6" borderId="0" xfId="1" applyFont="1" applyAlignment="1">
      <alignment vertical="top"/>
    </xf>
    <xf numFmtId="0" fontId="6" fillId="6" borderId="0" xfId="1" applyFont="1" applyAlignment="1">
      <alignment horizontal="left" vertical="top"/>
    </xf>
    <xf numFmtId="0" fontId="6" fillId="6" borderId="0" xfId="1" applyFont="1" applyAlignment="1">
      <alignment horizontal="left" vertical="center" wrapText="1"/>
    </xf>
    <xf numFmtId="0" fontId="6" fillId="6" borderId="0" xfId="1" applyFont="1"/>
    <xf numFmtId="0" fontId="6" fillId="6" borderId="0" xfId="1" applyFont="1" applyAlignment="1">
      <alignment horizontal="left"/>
    </xf>
    <xf numFmtId="0" fontId="6" fillId="6" borderId="0" xfId="1" applyFont="1" applyAlignment="1">
      <alignment vertical="center"/>
    </xf>
    <xf numFmtId="0" fontId="0" fillId="2" borderId="0" xfId="0" applyFill="1" applyAlignment="1">
      <alignment horizontal="left"/>
    </xf>
    <xf numFmtId="0" fontId="8" fillId="0" borderId="0" xfId="2"/>
    <xf numFmtId="0" fontId="10" fillId="0" borderId="0" xfId="2" applyFont="1"/>
    <xf numFmtId="0" fontId="12" fillId="8" borderId="4" xfId="2" applyFont="1" applyFill="1" applyBorder="1" applyAlignment="1">
      <alignment horizontal="center" vertical="center"/>
    </xf>
    <xf numFmtId="0" fontId="12" fillId="0" borderId="0" xfId="2" applyFont="1"/>
    <xf numFmtId="0" fontId="13" fillId="9" borderId="4" xfId="2" applyFont="1" applyFill="1" applyBorder="1" applyAlignment="1">
      <alignment horizontal="center" vertical="center"/>
    </xf>
    <xf numFmtId="166" fontId="14" fillId="0" borderId="4" xfId="2" applyNumberFormat="1" applyFont="1" applyBorder="1"/>
    <xf numFmtId="0" fontId="14" fillId="0" borderId="4" xfId="2" applyFont="1" applyBorder="1"/>
    <xf numFmtId="167" fontId="10" fillId="0" borderId="0" xfId="2" applyNumberFormat="1" applyFont="1"/>
    <xf numFmtId="0" fontId="16" fillId="0" borderId="0" xfId="2" applyFont="1"/>
    <xf numFmtId="0" fontId="17" fillId="0" borderId="0" xfId="2" applyFont="1" applyAlignment="1">
      <alignment horizontal="center" vertical="center"/>
    </xf>
    <xf numFmtId="0" fontId="11" fillId="10" borderId="4" xfId="2" applyFont="1" applyFill="1" applyBorder="1" applyAlignment="1">
      <alignment horizontal="center" vertical="center"/>
    </xf>
    <xf numFmtId="168" fontId="18" fillId="11" borderId="4" xfId="2" applyNumberFormat="1" applyFont="1" applyFill="1" applyBorder="1" applyAlignment="1">
      <alignment horizontal="center" vertical="center"/>
    </xf>
    <xf numFmtId="0" fontId="8" fillId="12" borderId="0" xfId="2" applyFill="1"/>
    <xf numFmtId="0" fontId="14" fillId="0" borderId="0" xfId="2" applyFont="1"/>
    <xf numFmtId="0" fontId="8" fillId="13" borderId="5" xfId="2" applyFill="1" applyBorder="1"/>
    <xf numFmtId="0" fontId="11" fillId="10" borderId="6" xfId="2" applyFont="1" applyFill="1" applyBorder="1" applyAlignment="1">
      <alignment horizontal="center" vertical="center"/>
    </xf>
    <xf numFmtId="0" fontId="9" fillId="0" borderId="0" xfId="2" applyFont="1" applyAlignment="1">
      <alignment horizontal="center" vertical="center"/>
    </xf>
    <xf numFmtId="0" fontId="10" fillId="0" borderId="0" xfId="2" applyFont="1"/>
    <xf numFmtId="0" fontId="15" fillId="10" borderId="0" xfId="2" applyFont="1" applyFill="1" applyAlignment="1">
      <alignment horizontal="center" vertical="center"/>
    </xf>
    <xf numFmtId="0" fontId="10" fillId="0" borderId="0" xfId="2" applyFont="1" applyAlignment="1">
      <alignment vertical="top" wrapText="1"/>
    </xf>
    <xf numFmtId="0" fontId="0" fillId="0" borderId="0" xfId="0" applyAlignment="1">
      <alignment horizontal="center" vertical="center"/>
    </xf>
    <xf numFmtId="0" fontId="11" fillId="7" borderId="0" xfId="2" applyFont="1" applyFill="1" applyAlignment="1">
      <alignment horizontal="center" vertical="center"/>
    </xf>
  </cellXfs>
  <cellStyles count="3">
    <cellStyle name="Good" xfId="1" builtinId="26"/>
    <cellStyle name="Normal" xfId="0" builtinId="0"/>
    <cellStyle name="Normal 2" xfId="2" xr:uid="{2F2EEE20-64C7-4BAE-8CA3-1E38CDB8DACB}"/>
  </cellStyles>
  <dxfs count="45">
    <dxf>
      <fill>
        <patternFill>
          <bgColor rgb="FFFFF2CC"/>
        </patternFill>
      </fill>
      <border diagonalUp="0" diagonalDown="0">
        <left style="thick">
          <color rgb="FF2E75B6"/>
        </left>
        <right style="thick">
          <color rgb="FF2E75B6"/>
        </right>
        <top style="thick">
          <color rgb="FF2E75B6"/>
        </top>
        <bottom style="thick">
          <color rgb="FF2E75B6"/>
        </bottom>
      </border>
    </dxf>
    <dxf>
      <font>
        <b/>
        <sz val="13"/>
        <color rgb="FFA6390A"/>
        <name val="Calibri"/>
        <charset val="1"/>
      </font>
      <fill>
        <patternFill>
          <bgColor rgb="FFF8CBAD"/>
        </patternFill>
      </fill>
      <border diagonalUp="0" diagonalDown="0">
        <left style="thin">
          <color rgb="FFBFBFBF"/>
        </left>
        <right style="thin">
          <color rgb="FFBFBFBF"/>
        </right>
        <top style="thin">
          <color rgb="FFBFBFBF"/>
        </top>
        <bottom style="thin">
          <color rgb="FFBFBFBF"/>
        </bottom>
      </border>
    </dxf>
    <dxf>
      <font>
        <b/>
        <sz val="13"/>
        <color rgb="FF1E6B2E"/>
        <name val="Calibri"/>
        <charset val="1"/>
      </font>
      <fill>
        <patternFill>
          <bgColor rgb="FFC6EFCE"/>
        </patternFill>
      </fill>
      <border diagonalUp="0" diagonalDown="0">
        <left style="thin">
          <color rgb="FFBFBFBF"/>
        </left>
        <right style="thin">
          <color rgb="FFBFBFBF"/>
        </right>
        <top style="thin">
          <color rgb="FFBFBFBF"/>
        </top>
        <bottom style="thin">
          <color rgb="FFBFBFBF"/>
        </bottom>
      </border>
    </dxf>
    <dxf>
      <alignment horizontal="left" vertical="bottom" textRotation="0" indent="0" justifyLastLine="0" shrinkToFit="0" readingOrder="0"/>
    </dxf>
    <dxf>
      <alignment horizontal="left"/>
    </dxf>
    <dxf>
      <alignment horizontal="left"/>
    </dxf>
    <dxf>
      <alignment horizontal="left"/>
    </dxf>
    <dxf>
      <alignment horizontal="left"/>
    </dxf>
    <dxf>
      <alignment horizontal="left"/>
    </dxf>
    <dxf>
      <alignment horizontal="left"/>
    </dxf>
    <dxf>
      <font>
        <b val="0"/>
        <i val="0"/>
        <strike val="0"/>
        <condense val="0"/>
        <extend val="0"/>
        <outline val="0"/>
        <shadow val="0"/>
        <u val="none"/>
        <vertAlign val="baseline"/>
        <sz val="11"/>
        <color rgb="FF000000"/>
        <name val="Calibri"/>
        <family val="2"/>
        <scheme val="minor"/>
      </font>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165" formatCode="dd\ mmm\ \(ddd\)"/>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dd\ mmm\ \(ddd\)"/>
      <alignment horizontal="center" vertical="center" textRotation="0" wrapText="1" indent="0" justifyLastLine="0" shrinkToFit="0" readingOrder="0"/>
    </dxf>
    <dxf>
      <font>
        <b/>
        <i val="0"/>
        <strike val="0"/>
        <condense val="0"/>
        <extend val="0"/>
        <outline val="0"/>
        <shadow val="0"/>
        <u val="none"/>
        <vertAlign val="baseline"/>
        <sz val="11"/>
        <color auto="1"/>
        <name val="Calibri"/>
        <scheme val="none"/>
      </font>
    </dxf>
    <dxf>
      <font>
        <strike val="0"/>
        <outline val="0"/>
        <shadow val="0"/>
        <u val="none"/>
        <vertAlign val="baseline"/>
        <sz val="11"/>
        <color auto="1"/>
        <name val="Calibri"/>
        <family val="2"/>
        <scheme val="minor"/>
      </font>
    </dxf>
    <dxf>
      <border outline="0">
        <top style="thin">
          <color theme="0"/>
        </top>
      </border>
    </dxf>
    <dxf>
      <border outline="0">
        <left style="thin">
          <color theme="0"/>
        </left>
        <right style="thin">
          <color theme="0"/>
        </right>
        <top style="thin">
          <color theme="0"/>
        </top>
      </border>
    </dxf>
    <dxf>
      <border outline="0">
        <bottom style="thin">
          <color theme="0"/>
        </bottom>
      </border>
    </dxf>
    <dxf>
      <font>
        <b val="0"/>
        <i val="0"/>
        <strike val="0"/>
        <condense val="0"/>
        <extend val="0"/>
        <outline val="0"/>
        <shadow val="0"/>
        <u val="none"/>
        <vertAlign val="baseline"/>
        <sz val="11"/>
        <color rgb="FF000000"/>
        <name val="Calibri"/>
        <family val="2"/>
        <scheme val="minor"/>
      </font>
      <fill>
        <patternFill patternType="solid">
          <fgColor theme="4" tint="0.79998168889431442"/>
          <bgColor theme="4"/>
        </patternFill>
      </fill>
    </dxf>
    <dxf>
      <font>
        <b val="0"/>
        <i val="0"/>
        <strike val="0"/>
        <condense val="0"/>
        <extend val="0"/>
        <outline val="0"/>
        <shadow val="0"/>
        <u val="none"/>
        <vertAlign val="baseline"/>
        <sz val="11"/>
        <color rgb="FF000000"/>
        <name val="Calibri"/>
        <family val="2"/>
        <scheme val="minor"/>
      </font>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165" formatCode="dd\ mmm\ \(ddd\)"/>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dd\ mmm\ \(ddd\)"/>
      <alignment horizontal="center" vertical="center" textRotation="0" wrapText="1" indent="0" justifyLastLine="0" shrinkToFit="0" readingOrder="0"/>
    </dxf>
    <dxf>
      <font>
        <b/>
        <i val="0"/>
        <strike val="0"/>
        <condense val="0"/>
        <extend val="0"/>
        <outline val="0"/>
        <shadow val="0"/>
        <u val="none"/>
        <vertAlign val="baseline"/>
        <sz val="11"/>
        <color auto="1"/>
        <name val="Calibri"/>
        <scheme val="none"/>
      </font>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5" formatCode="dd\ mmm\ \(ddd\)"/>
      <alignment horizontal="center" vertical="center" textRotation="0" wrapText="1" indent="0" justifyLastLine="0" shrinkToFit="0" readingOrder="0"/>
    </dxf>
    <dxf>
      <numFmt numFmtId="165" formatCode="dd\ mmm\ \(ddd\)"/>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Track.xlsx]Dashboard (AIA Data)!Volumn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HK" b="1"/>
              <a:t>Volumn (Weight x Set x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(AIA Data)'!$B$3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(AIA Data)'!$A$4:$A$19</c:f>
              <c:strCache>
                <c:ptCount val="15"/>
                <c:pt idx="0">
                  <c:v>19 May (Tue)</c:v>
                </c:pt>
                <c:pt idx="1">
                  <c:v>21 May (Thu)</c:v>
                </c:pt>
                <c:pt idx="2">
                  <c:v>26 May (Tue)</c:v>
                </c:pt>
                <c:pt idx="3">
                  <c:v>28 May (Thu)</c:v>
                </c:pt>
                <c:pt idx="4">
                  <c:v>05 Jun (Fri)</c:v>
                </c:pt>
                <c:pt idx="5">
                  <c:v>09 Jun (Tue)</c:v>
                </c:pt>
                <c:pt idx="6">
                  <c:v>11 Jun (Thu)</c:v>
                </c:pt>
                <c:pt idx="7">
                  <c:v>16 Jun (Tue)</c:v>
                </c:pt>
                <c:pt idx="8">
                  <c:v>18 Jun (Thu)</c:v>
                </c:pt>
                <c:pt idx="9">
                  <c:v>23 Jun (Tue)</c:v>
                </c:pt>
                <c:pt idx="10">
                  <c:v>25 Jun (Thu)</c:v>
                </c:pt>
                <c:pt idx="11">
                  <c:v>29 Jun (Mon)</c:v>
                </c:pt>
                <c:pt idx="12">
                  <c:v>03 Jul (Fri)</c:v>
                </c:pt>
                <c:pt idx="13">
                  <c:v>07 Jul (Tue)</c:v>
                </c:pt>
                <c:pt idx="14">
                  <c:v>09 Jul (Thu)</c:v>
                </c:pt>
              </c:strCache>
            </c:strRef>
          </c:cat>
          <c:val>
            <c:numRef>
              <c:f>'Dashboard (AIA Data)'!$B$4:$B$19</c:f>
              <c:numCache>
                <c:formatCode>General</c:formatCode>
                <c:ptCount val="15"/>
                <c:pt idx="0">
                  <c:v>180</c:v>
                </c:pt>
                <c:pt idx="1">
                  <c:v>10005</c:v>
                </c:pt>
                <c:pt idx="2">
                  <c:v>15817</c:v>
                </c:pt>
                <c:pt idx="3">
                  <c:v>15420</c:v>
                </c:pt>
                <c:pt idx="4">
                  <c:v>10128</c:v>
                </c:pt>
                <c:pt idx="5">
                  <c:v>14285</c:v>
                </c:pt>
                <c:pt idx="6">
                  <c:v>13310</c:v>
                </c:pt>
                <c:pt idx="7">
                  <c:v>13860</c:v>
                </c:pt>
                <c:pt idx="8">
                  <c:v>15974</c:v>
                </c:pt>
                <c:pt idx="9">
                  <c:v>18806</c:v>
                </c:pt>
                <c:pt idx="10">
                  <c:v>21116.799999999999</c:v>
                </c:pt>
                <c:pt idx="11">
                  <c:v>19285</c:v>
                </c:pt>
                <c:pt idx="12">
                  <c:v>21128</c:v>
                </c:pt>
                <c:pt idx="13">
                  <c:v>22960</c:v>
                </c:pt>
                <c:pt idx="14">
                  <c:v>14952</c:v>
                </c:pt>
              </c:numCache>
            </c:numRef>
          </c:val>
          <c:smooth val="0"/>
          <c:extLst>
            <c:ext xmlns:c16="http://schemas.microsoft.com/office/drawing/2014/chart" uri="{C3380CC4-5D6E-409C-BE32-E72D297353CC}">
              <c16:uniqueId val="{00000000-90AE-45EC-AC6D-4CFCE56E291F}"/>
            </c:ext>
          </c:extLst>
        </c:ser>
        <c:dLbls>
          <c:dLblPos val="t"/>
          <c:showLegendKey val="0"/>
          <c:showVal val="1"/>
          <c:showCatName val="0"/>
          <c:showSerName val="0"/>
          <c:showPercent val="0"/>
          <c:showBubbleSize val="0"/>
        </c:dLbls>
        <c:marker val="1"/>
        <c:smooth val="0"/>
        <c:axId val="578899487"/>
        <c:axId val="578898047"/>
      </c:lineChart>
      <c:catAx>
        <c:axId val="57889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98047"/>
        <c:crosses val="autoZero"/>
        <c:auto val="1"/>
        <c:lblAlgn val="ctr"/>
        <c:lblOffset val="100"/>
        <c:noMultiLvlLbl val="0"/>
      </c:catAx>
      <c:valAx>
        <c:axId val="5788980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7889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Track.xlsx]Dashboard (AIA Data)!WeightXLoad</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HK" b="1"/>
              <a:t>Weight x Load (Set x Rep)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92D050"/>
            </a:solidFill>
            <a:round/>
          </a:ln>
          <a:effectLst/>
        </c:spPr>
        <c:marker>
          <c:symbol val="circle"/>
          <c:size val="5"/>
          <c:spPr>
            <a:solidFill>
              <a:srgbClr val="92D050"/>
            </a:solidFill>
            <a:ln w="9525">
              <a:solidFill>
                <a:srgbClr val="92D050">
                  <a:alpha val="94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circle"/>
          <c:size val="5"/>
          <c:spPr>
            <a:solidFill>
              <a:srgbClr val="92D050"/>
            </a:solidFill>
            <a:ln w="9525">
              <a:solidFill>
                <a:srgbClr val="92D050"/>
              </a:solidFill>
            </a:ln>
            <a:effectLst/>
          </c:spPr>
        </c:marker>
      </c:pivotFmt>
      <c:pivotFmt>
        <c:idx val="3"/>
        <c:spPr>
          <a:ln w="28575" cap="rnd">
            <a:solidFill>
              <a:srgbClr val="92D050"/>
            </a:solidFill>
            <a:round/>
          </a:ln>
          <a:effectLst/>
        </c:spPr>
        <c:marker>
          <c:symbol val="circle"/>
          <c:size val="5"/>
          <c:spPr>
            <a:solidFill>
              <a:srgbClr val="92D050"/>
            </a:solidFill>
            <a:ln w="9525">
              <a:solidFill>
                <a:srgbClr val="92D050">
                  <a:alpha val="94000"/>
                </a:srgbClr>
              </a:solidFill>
            </a:ln>
            <a:effectLst/>
          </c:spPr>
        </c:marker>
      </c:pivotFmt>
      <c:pivotFmt>
        <c:idx val="4"/>
        <c:spPr>
          <a:ln w="28575" cap="rnd">
            <a:solidFill>
              <a:srgbClr val="92D050"/>
            </a:solidFill>
            <a:round/>
          </a:ln>
          <a:effectLst/>
        </c:spPr>
        <c:marker>
          <c:symbol val="circle"/>
          <c:size val="5"/>
          <c:spPr>
            <a:solidFill>
              <a:srgbClr val="92D050"/>
            </a:solidFill>
            <a:ln w="9525">
              <a:solidFill>
                <a:srgbClr val="92D050">
                  <a:alpha val="94000"/>
                </a:srgbClr>
              </a:solidFill>
            </a:ln>
            <a:effectLst/>
          </c:spPr>
        </c:marker>
      </c:pivotFmt>
      <c:pivotFmt>
        <c:idx val="5"/>
        <c:spPr>
          <a:ln w="28575" cap="rnd">
            <a:solidFill>
              <a:srgbClr val="92D050"/>
            </a:solidFill>
            <a:round/>
          </a:ln>
          <a:effectLst/>
        </c:spPr>
        <c:marker>
          <c:symbol val="circle"/>
          <c:size val="5"/>
          <c:spPr>
            <a:solidFill>
              <a:srgbClr val="92D050"/>
            </a:solidFill>
            <a:ln w="9525">
              <a:solidFill>
                <a:srgbClr val="92D050">
                  <a:alpha val="94000"/>
                </a:srgbClr>
              </a:solidFill>
            </a:ln>
            <a:effectLst/>
          </c:spPr>
        </c:marker>
      </c:pivotFmt>
      <c:pivotFmt>
        <c:idx val="6"/>
        <c:spPr>
          <a:ln w="28575" cap="rnd">
            <a:solidFill>
              <a:srgbClr val="92D050"/>
            </a:solidFill>
            <a:round/>
          </a:ln>
          <a:effectLst/>
        </c:spPr>
        <c:marker>
          <c:symbol val="circle"/>
          <c:size val="5"/>
          <c:spPr>
            <a:solidFill>
              <a:srgbClr val="92D050"/>
            </a:solidFill>
            <a:ln w="9525">
              <a:solidFill>
                <a:srgbClr val="92D050">
                  <a:alpha val="94000"/>
                </a:srgbClr>
              </a:solidFill>
            </a:ln>
            <a:effectLst/>
          </c:spPr>
        </c:marker>
      </c:pivotFmt>
      <c:pivotFmt>
        <c:idx val="7"/>
        <c:spPr>
          <a:ln w="28575" cap="rnd">
            <a:solidFill>
              <a:srgbClr val="92D050"/>
            </a:solidFill>
            <a:round/>
          </a:ln>
          <a:effectLst/>
        </c:spPr>
        <c:marker>
          <c:symbol val="circle"/>
          <c:size val="5"/>
          <c:spPr>
            <a:solidFill>
              <a:srgbClr val="92D050"/>
            </a:solidFill>
            <a:ln w="9525">
              <a:solidFill>
                <a:srgbClr val="92D050">
                  <a:alpha val="94000"/>
                </a:srgbClr>
              </a:solidFill>
            </a:ln>
            <a:effectLst/>
          </c:spPr>
        </c:marker>
      </c:pivotFmt>
      <c:pivotFmt>
        <c:idx val="8"/>
        <c:spPr>
          <a:ln w="28575" cap="rnd">
            <a:solidFill>
              <a:srgbClr val="92D050"/>
            </a:solidFill>
            <a:round/>
          </a:ln>
          <a:effectLst/>
        </c:spPr>
        <c:marker>
          <c:symbol val="circle"/>
          <c:size val="5"/>
          <c:spPr>
            <a:solidFill>
              <a:srgbClr val="92D050"/>
            </a:solidFill>
            <a:ln w="9525">
              <a:solidFill>
                <a:srgbClr val="92D050">
                  <a:alpha val="94000"/>
                </a:srgbClr>
              </a:solidFill>
            </a:ln>
            <a:effectLst/>
          </c:spPr>
        </c:marker>
      </c:pivotFmt>
      <c:pivotFmt>
        <c:idx val="9"/>
        <c:spPr>
          <a:ln w="28575" cap="rnd">
            <a:solidFill>
              <a:srgbClr val="92D050"/>
            </a:solidFill>
            <a:round/>
          </a:ln>
          <a:effectLst/>
        </c:spPr>
        <c:marker>
          <c:symbol val="circle"/>
          <c:size val="5"/>
          <c:spPr>
            <a:solidFill>
              <a:srgbClr val="92D050"/>
            </a:solidFill>
            <a:ln w="9525">
              <a:solidFill>
                <a:srgbClr val="92D050">
                  <a:alpha val="94000"/>
                </a:srgbClr>
              </a:solidFill>
            </a:ln>
            <a:effectLst/>
          </c:spPr>
        </c:marker>
      </c:pivotFmt>
      <c:pivotFmt>
        <c:idx val="10"/>
        <c:spPr>
          <a:ln w="28575" cap="rnd">
            <a:solidFill>
              <a:srgbClr val="92D050"/>
            </a:solidFill>
            <a:round/>
          </a:ln>
          <a:effectLst/>
        </c:spPr>
        <c:marker>
          <c:symbol val="circle"/>
          <c:size val="5"/>
          <c:spPr>
            <a:solidFill>
              <a:srgbClr val="92D050"/>
            </a:solidFill>
            <a:ln w="9525">
              <a:solidFill>
                <a:srgbClr val="92D050">
                  <a:alpha val="94000"/>
                </a:srgbClr>
              </a:solidFill>
            </a:ln>
            <a:effectLst/>
          </c:spPr>
        </c:marker>
      </c:pivotFmt>
      <c:pivotFmt>
        <c:idx val="11"/>
        <c:spPr>
          <a:ln w="28575" cap="rnd">
            <a:solidFill>
              <a:srgbClr val="92D050"/>
            </a:solidFill>
            <a:round/>
          </a:ln>
          <a:effectLst/>
        </c:spPr>
        <c:marker>
          <c:symbol val="circle"/>
          <c:size val="5"/>
          <c:spPr>
            <a:solidFill>
              <a:srgbClr val="92D050"/>
            </a:solidFill>
            <a:ln w="9525">
              <a:solidFill>
                <a:srgbClr val="92D050">
                  <a:alpha val="94000"/>
                </a:srgbClr>
              </a:solidFill>
            </a:ln>
            <a:effectLst/>
          </c:spPr>
        </c:marker>
      </c:pivotFmt>
      <c:pivotFmt>
        <c:idx val="12"/>
        <c:spPr>
          <a:ln w="28575" cap="rnd">
            <a:solidFill>
              <a:srgbClr val="92D050"/>
            </a:solidFill>
            <a:round/>
          </a:ln>
          <a:effectLst/>
        </c:spPr>
        <c:marker>
          <c:symbol val="circle"/>
          <c:size val="5"/>
          <c:spPr>
            <a:solidFill>
              <a:srgbClr val="92D050"/>
            </a:solidFill>
            <a:ln w="9525">
              <a:solidFill>
                <a:srgbClr val="92D050">
                  <a:alpha val="94000"/>
                </a:srgbClr>
              </a:solidFill>
            </a:ln>
            <a:effectLst/>
          </c:spPr>
        </c:marker>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(AIA Data)'!$B$21</c:f>
              <c:strCache>
                <c:ptCount val="1"/>
                <c:pt idx="0">
                  <c:v>Weight</c:v>
                </c:pt>
              </c:strCache>
            </c:strRef>
          </c:tx>
          <c:spPr>
            <a:ln w="28575" cap="rnd">
              <a:solidFill>
                <a:srgbClr val="92D050"/>
              </a:solidFill>
              <a:round/>
            </a:ln>
            <a:effectLst/>
          </c:spPr>
          <c:marker>
            <c:symbol val="circle"/>
            <c:size val="5"/>
            <c:spPr>
              <a:solidFill>
                <a:srgbClr val="92D050"/>
              </a:solidFill>
              <a:ln w="9525">
                <a:solidFill>
                  <a:srgbClr val="92D050">
                    <a:alpha val="94000"/>
                  </a:srgbClr>
                </a:solidFill>
              </a:ln>
              <a:effectLst/>
            </c:spPr>
          </c:marker>
          <c:dPt>
            <c:idx val="4"/>
            <c:marker>
              <c:symbol val="circle"/>
              <c:size val="5"/>
              <c:spPr>
                <a:solidFill>
                  <a:srgbClr val="92D050"/>
                </a:solidFill>
                <a:ln w="9525">
                  <a:solidFill>
                    <a:srgbClr val="92D050"/>
                  </a:solidFill>
                </a:ln>
                <a:effectLst/>
              </c:spPr>
            </c:marker>
            <c:bubble3D val="0"/>
            <c:spPr>
              <a:ln w="28575" cap="rnd">
                <a:solidFill>
                  <a:srgbClr val="92D050"/>
                </a:solidFill>
                <a:round/>
              </a:ln>
              <a:effectLst/>
            </c:spPr>
            <c:extLst>
              <c:ext xmlns:c16="http://schemas.microsoft.com/office/drawing/2014/chart" uri="{C3380CC4-5D6E-409C-BE32-E72D297353CC}">
                <c16:uniqueId val="{00000004-7506-40CE-827A-4CEC016FFEE6}"/>
              </c:ext>
            </c:extLst>
          </c:dPt>
          <c:cat>
            <c:strRef>
              <c:f>'Dashboard (AIA Data)'!$A$22:$A$37</c:f>
              <c:strCache>
                <c:ptCount val="15"/>
                <c:pt idx="0">
                  <c:v>19 May (Tue)</c:v>
                </c:pt>
                <c:pt idx="1">
                  <c:v>21 May (Thu)</c:v>
                </c:pt>
                <c:pt idx="2">
                  <c:v>26 May (Tue)</c:v>
                </c:pt>
                <c:pt idx="3">
                  <c:v>28 May (Thu)</c:v>
                </c:pt>
                <c:pt idx="4">
                  <c:v>05 Jun (Fri)</c:v>
                </c:pt>
                <c:pt idx="5">
                  <c:v>09 Jun (Tue)</c:v>
                </c:pt>
                <c:pt idx="6">
                  <c:v>11 Jun (Thu)</c:v>
                </c:pt>
                <c:pt idx="7">
                  <c:v>16 Jun (Tue)</c:v>
                </c:pt>
                <c:pt idx="8">
                  <c:v>18 Jun (Thu)</c:v>
                </c:pt>
                <c:pt idx="9">
                  <c:v>23 Jun (Tue)</c:v>
                </c:pt>
                <c:pt idx="10">
                  <c:v>25 Jun (Thu)</c:v>
                </c:pt>
                <c:pt idx="11">
                  <c:v>29 Jun (Mon)</c:v>
                </c:pt>
                <c:pt idx="12">
                  <c:v>03 Jul (Fri)</c:v>
                </c:pt>
                <c:pt idx="13">
                  <c:v>07 Jul (Tue)</c:v>
                </c:pt>
                <c:pt idx="14">
                  <c:v>09 Jul (Thu)</c:v>
                </c:pt>
              </c:strCache>
            </c:strRef>
          </c:cat>
          <c:val>
            <c:numRef>
              <c:f>'Dashboard (AIA Data)'!$B$22:$B$37</c:f>
              <c:numCache>
                <c:formatCode>General</c:formatCode>
                <c:ptCount val="15"/>
                <c:pt idx="0">
                  <c:v>6</c:v>
                </c:pt>
                <c:pt idx="1">
                  <c:v>333.5</c:v>
                </c:pt>
                <c:pt idx="2">
                  <c:v>397.5</c:v>
                </c:pt>
                <c:pt idx="3">
                  <c:v>467</c:v>
                </c:pt>
                <c:pt idx="4">
                  <c:v>357.5</c:v>
                </c:pt>
                <c:pt idx="5">
                  <c:v>467.5</c:v>
                </c:pt>
                <c:pt idx="6">
                  <c:v>432.5</c:v>
                </c:pt>
                <c:pt idx="7">
                  <c:v>397.5</c:v>
                </c:pt>
                <c:pt idx="8">
                  <c:v>459.6</c:v>
                </c:pt>
                <c:pt idx="9">
                  <c:v>467.1</c:v>
                </c:pt>
                <c:pt idx="10">
                  <c:v>481.1</c:v>
                </c:pt>
                <c:pt idx="11">
                  <c:v>504</c:v>
                </c:pt>
                <c:pt idx="12">
                  <c:v>531.5</c:v>
                </c:pt>
                <c:pt idx="13">
                  <c:v>541.5</c:v>
                </c:pt>
                <c:pt idx="14">
                  <c:v>331.5</c:v>
                </c:pt>
              </c:numCache>
            </c:numRef>
          </c:val>
          <c:smooth val="0"/>
          <c:extLst>
            <c:ext xmlns:c16="http://schemas.microsoft.com/office/drawing/2014/chart" uri="{C3380CC4-5D6E-409C-BE32-E72D297353CC}">
              <c16:uniqueId val="{00000000-7506-40CE-827A-4CEC016FFEE6}"/>
            </c:ext>
          </c:extLst>
        </c:ser>
        <c:ser>
          <c:idx val="1"/>
          <c:order val="1"/>
          <c:tx>
            <c:strRef>
              <c:f>'Dashboard (AIA Data)'!$C$21</c:f>
              <c:strCache>
                <c:ptCount val="1"/>
                <c:pt idx="0">
                  <c:v>Load (Set*Rep)</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(AIA Data)'!$A$22:$A$37</c:f>
              <c:strCache>
                <c:ptCount val="15"/>
                <c:pt idx="0">
                  <c:v>19 May (Tue)</c:v>
                </c:pt>
                <c:pt idx="1">
                  <c:v>21 May (Thu)</c:v>
                </c:pt>
                <c:pt idx="2">
                  <c:v>26 May (Tue)</c:v>
                </c:pt>
                <c:pt idx="3">
                  <c:v>28 May (Thu)</c:v>
                </c:pt>
                <c:pt idx="4">
                  <c:v>05 Jun (Fri)</c:v>
                </c:pt>
                <c:pt idx="5">
                  <c:v>09 Jun (Tue)</c:v>
                </c:pt>
                <c:pt idx="6">
                  <c:v>11 Jun (Thu)</c:v>
                </c:pt>
                <c:pt idx="7">
                  <c:v>16 Jun (Tue)</c:v>
                </c:pt>
                <c:pt idx="8">
                  <c:v>18 Jun (Thu)</c:v>
                </c:pt>
                <c:pt idx="9">
                  <c:v>23 Jun (Tue)</c:v>
                </c:pt>
                <c:pt idx="10">
                  <c:v>25 Jun (Thu)</c:v>
                </c:pt>
                <c:pt idx="11">
                  <c:v>29 Jun (Mon)</c:v>
                </c:pt>
                <c:pt idx="12">
                  <c:v>03 Jul (Fri)</c:v>
                </c:pt>
                <c:pt idx="13">
                  <c:v>07 Jul (Tue)</c:v>
                </c:pt>
                <c:pt idx="14">
                  <c:v>09 Jul (Thu)</c:v>
                </c:pt>
              </c:strCache>
            </c:strRef>
          </c:cat>
          <c:val>
            <c:numRef>
              <c:f>'Dashboard (AIA Data)'!$C$22:$C$37</c:f>
              <c:numCache>
                <c:formatCode>General</c:formatCode>
                <c:ptCount val="15"/>
                <c:pt idx="0">
                  <c:v>30</c:v>
                </c:pt>
                <c:pt idx="1">
                  <c:v>210</c:v>
                </c:pt>
                <c:pt idx="2">
                  <c:v>276</c:v>
                </c:pt>
                <c:pt idx="3">
                  <c:v>350</c:v>
                </c:pt>
                <c:pt idx="4">
                  <c:v>216</c:v>
                </c:pt>
                <c:pt idx="5">
                  <c:v>317</c:v>
                </c:pt>
                <c:pt idx="6">
                  <c:v>288</c:v>
                </c:pt>
                <c:pt idx="7">
                  <c:v>308</c:v>
                </c:pt>
                <c:pt idx="8">
                  <c:v>324</c:v>
                </c:pt>
                <c:pt idx="9">
                  <c:v>373</c:v>
                </c:pt>
                <c:pt idx="10">
                  <c:v>384</c:v>
                </c:pt>
                <c:pt idx="11">
                  <c:v>332</c:v>
                </c:pt>
                <c:pt idx="12">
                  <c:v>360</c:v>
                </c:pt>
                <c:pt idx="13">
                  <c:v>400</c:v>
                </c:pt>
                <c:pt idx="14">
                  <c:v>368</c:v>
                </c:pt>
              </c:numCache>
            </c:numRef>
          </c:val>
          <c:smooth val="0"/>
          <c:extLst>
            <c:ext xmlns:c16="http://schemas.microsoft.com/office/drawing/2014/chart" uri="{C3380CC4-5D6E-409C-BE32-E72D297353CC}">
              <c16:uniqueId val="{00000004-8D1B-415D-B22A-F228095D5693}"/>
            </c:ext>
          </c:extLst>
        </c:ser>
        <c:dLbls>
          <c:showLegendKey val="0"/>
          <c:showVal val="0"/>
          <c:showCatName val="0"/>
          <c:showSerName val="0"/>
          <c:showPercent val="0"/>
          <c:showBubbleSize val="0"/>
        </c:dLbls>
        <c:marker val="1"/>
        <c:smooth val="0"/>
        <c:axId val="1459364143"/>
        <c:axId val="1459355023"/>
      </c:lineChart>
      <c:catAx>
        <c:axId val="145936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355023"/>
        <c:crosses val="autoZero"/>
        <c:auto val="1"/>
        <c:lblAlgn val="ctr"/>
        <c:lblOffset val="100"/>
        <c:noMultiLvlLbl val="0"/>
      </c:catAx>
      <c:valAx>
        <c:axId val="145935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364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154782</xdr:colOff>
      <xdr:row>2</xdr:row>
      <xdr:rowOff>2</xdr:rowOff>
    </xdr:from>
    <xdr:to>
      <xdr:col>29</xdr:col>
      <xdr:colOff>446486</xdr:colOff>
      <xdr:row>20</xdr:row>
      <xdr:rowOff>69453</xdr:rowOff>
    </xdr:to>
    <xdr:graphicFrame macro="">
      <xdr:nvGraphicFramePr>
        <xdr:cNvPr id="3" name="Chart 2">
          <a:extLst>
            <a:ext uri="{FF2B5EF4-FFF2-40B4-BE49-F238E27FC236}">
              <a16:creationId xmlns:a16="http://schemas.microsoft.com/office/drawing/2014/main" id="{3746D77A-1F66-AF4D-1323-0F6AE5756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113902</xdr:colOff>
      <xdr:row>9</xdr:row>
      <xdr:rowOff>81417</xdr:rowOff>
    </xdr:from>
    <xdr:to>
      <xdr:col>16</xdr:col>
      <xdr:colOff>190217</xdr:colOff>
      <xdr:row>23</xdr:row>
      <xdr:rowOff>59327</xdr:rowOff>
    </xdr:to>
    <mc:AlternateContent xmlns:mc="http://schemas.openxmlformats.org/markup-compatibility/2006" xmlns:a14="http://schemas.microsoft.com/office/drawing/2010/main">
      <mc:Choice Requires="a14">
        <xdr:graphicFrame macro="">
          <xdr:nvGraphicFramePr>
            <xdr:cNvPr id="4" name="Exercise">
              <a:extLst>
                <a:ext uri="{FF2B5EF4-FFF2-40B4-BE49-F238E27FC236}">
                  <a16:creationId xmlns:a16="http://schemas.microsoft.com/office/drawing/2014/main" id="{5355E84A-7714-EA76-3952-E72EFE801D9B}"/>
                </a:ext>
              </a:extLst>
            </xdr:cNvPr>
            <xdr:cNvGraphicFramePr/>
          </xdr:nvGraphicFramePr>
          <xdr:xfrm>
            <a:off x="0" y="0"/>
            <a:ext cx="0" cy="0"/>
          </xdr:xfrm>
          <a:graphic>
            <a:graphicData uri="http://schemas.microsoft.com/office/drawing/2010/slicer">
              <sle:slicer xmlns:sle="http://schemas.microsoft.com/office/drawing/2010/slicer" name="Exercise"/>
            </a:graphicData>
          </a:graphic>
        </xdr:graphicFrame>
      </mc:Choice>
      <mc:Fallback xmlns="">
        <xdr:sp macro="" textlink="">
          <xdr:nvSpPr>
            <xdr:cNvPr id="0" name=""/>
            <xdr:cNvSpPr>
              <a:spLocks noTextEdit="1"/>
            </xdr:cNvSpPr>
          </xdr:nvSpPr>
          <xdr:spPr>
            <a:xfrm>
              <a:off x="4921759" y="1714274"/>
              <a:ext cx="1945029" cy="2517910"/>
            </a:xfrm>
            <a:prstGeom prst="rect">
              <a:avLst/>
            </a:prstGeom>
            <a:solidFill>
              <a:prstClr val="white"/>
            </a:solidFill>
            <a:ln w="1">
              <a:solidFill>
                <a:prstClr val="green"/>
              </a:solidFill>
            </a:ln>
          </xdr:spPr>
          <xdr:txBody>
            <a:bodyPr vertOverflow="clip" horzOverflow="clip"/>
            <a:lstStyle/>
            <a:p>
              <a:r>
                <a:rPr lang="en-H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193279</xdr:colOff>
      <xdr:row>2</xdr:row>
      <xdr:rowOff>7145</xdr:rowOff>
    </xdr:from>
    <xdr:to>
      <xdr:col>16</xdr:col>
      <xdr:colOff>156765</xdr:colOff>
      <xdr:row>8</xdr:row>
      <xdr:rowOff>148829</xdr:rowOff>
    </xdr:to>
    <mc:AlternateContent xmlns:mc="http://schemas.openxmlformats.org/markup-compatibility/2006" xmlns:a14="http://schemas.microsoft.com/office/drawing/2010/main">
      <mc:Choice Requires="a14">
        <xdr:graphicFrame macro="">
          <xdr:nvGraphicFramePr>
            <xdr:cNvPr id="5" name="Unit">
              <a:extLst>
                <a:ext uri="{FF2B5EF4-FFF2-40B4-BE49-F238E27FC236}">
                  <a16:creationId xmlns:a16="http://schemas.microsoft.com/office/drawing/2014/main" id="{13D16F69-BE2F-8A52-6E28-C1E7469CE0D3}"/>
                </a:ext>
              </a:extLst>
            </xdr:cNvPr>
            <xdr:cNvGraphicFramePr/>
          </xdr:nvGraphicFramePr>
          <xdr:xfrm>
            <a:off x="0" y="0"/>
            <a:ext cx="0" cy="0"/>
          </xdr:xfrm>
          <a:graphic>
            <a:graphicData uri="http://schemas.microsoft.com/office/drawing/2010/slicer">
              <sle:slicer xmlns:sle="http://schemas.microsoft.com/office/drawing/2010/slicer" name="Unit"/>
            </a:graphicData>
          </a:graphic>
        </xdr:graphicFrame>
      </mc:Choice>
      <mc:Fallback xmlns="">
        <xdr:sp macro="" textlink="">
          <xdr:nvSpPr>
            <xdr:cNvPr id="0" name=""/>
            <xdr:cNvSpPr>
              <a:spLocks noTextEdit="1"/>
            </xdr:cNvSpPr>
          </xdr:nvSpPr>
          <xdr:spPr>
            <a:xfrm>
              <a:off x="4386147" y="380674"/>
              <a:ext cx="1812457" cy="1262273"/>
            </a:xfrm>
            <a:prstGeom prst="rect">
              <a:avLst/>
            </a:prstGeom>
            <a:solidFill>
              <a:prstClr val="white"/>
            </a:solidFill>
            <a:ln w="1">
              <a:solidFill>
                <a:prstClr val="green"/>
              </a:solidFill>
            </a:ln>
          </xdr:spPr>
          <xdr:txBody>
            <a:bodyPr vertOverflow="clip" horzOverflow="clip"/>
            <a:lstStyle/>
            <a:p>
              <a:r>
                <a:rPr lang="en-H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631029</xdr:colOff>
      <xdr:row>1</xdr:row>
      <xdr:rowOff>161330</xdr:rowOff>
    </xdr:from>
    <xdr:to>
      <xdr:col>39</xdr:col>
      <xdr:colOff>9921</xdr:colOff>
      <xdr:row>20</xdr:row>
      <xdr:rowOff>168671</xdr:rowOff>
    </xdr:to>
    <xdr:graphicFrame macro="">
      <xdr:nvGraphicFramePr>
        <xdr:cNvPr id="9" name="Chart 8">
          <a:extLst>
            <a:ext uri="{FF2B5EF4-FFF2-40B4-BE49-F238E27FC236}">
              <a16:creationId xmlns:a16="http://schemas.microsoft.com/office/drawing/2014/main" id="{49C1331D-4FB9-5890-B975-70D4FBE50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Gym_Track.xlsx" TargetMode="External"/><Relationship Id="rId2" Type="http://schemas.openxmlformats.org/officeDocument/2006/relationships/externalLinkPath" Target="file:///C:\Users\xkyh0\Downloads\Gym_Track.xlsx" TargetMode="External"/><Relationship Id="rId1" Type="http://schemas.openxmlformats.org/officeDocument/2006/relationships/externalLinkPath" Target="/Users/xkyh0/Downloads/Gym_Trac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IA Gym Log"/>
      <sheetName val="TAR Gym Log"/>
      <sheetName val="Sg Long Gym Log"/>
      <sheetName val="Control"/>
      <sheetName val="Dashboard"/>
      <sheetName val="Calendar"/>
      <sheetName val="Lifestyle Notes"/>
      <sheetName val="Protein"/>
      <sheetName val="Gym_Track"/>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ip, Quan Shen" refreshedDate="46213.594794907411" createdVersion="8" refreshedVersion="8" minRefreshableVersion="3" recordCount="130" xr:uid="{3D75D55D-638C-47A4-9907-68160A2AB557}">
  <cacheSource type="worksheet">
    <worksheetSource name="log"/>
  </cacheSource>
  <cacheFields count="12">
    <cacheField name="Date (DAY)" numFmtId="165">
      <sharedItems containsSemiMixedTypes="0" containsNonDate="0" containsDate="1" containsString="0" minDate="2026-05-19T00:00:00" maxDate="2026-07-10T00:00:00" count="15">
        <d v="2026-05-19T00:00:00"/>
        <d v="2026-05-21T00:00:00"/>
        <d v="2026-05-26T00:00:00"/>
        <d v="2026-05-28T00:00:00"/>
        <d v="2026-06-05T00:00:00"/>
        <d v="2026-06-09T00:00:00"/>
        <d v="2026-06-11T00:00:00"/>
        <d v="2026-06-16T00:00:00"/>
        <d v="2026-06-18T00:00:00"/>
        <d v="2026-06-23T00:00:00"/>
        <d v="2026-06-25T00:00:00"/>
        <d v="2026-06-29T00:00:00"/>
        <d v="2026-07-03T00:00:00"/>
        <d v="2026-07-07T00:00:00"/>
        <d v="2026-07-09T00:00:00"/>
      </sharedItems>
      <fieldGroup par="11"/>
    </cacheField>
    <cacheField name="Display Date" numFmtId="165">
      <sharedItems/>
    </cacheField>
    <cacheField name="Exercise" numFmtId="0">
      <sharedItems count="12">
        <s v="Bicep Curl"/>
        <s v="Leg Extension"/>
        <s v="Chest Press"/>
        <s v="Seated Row"/>
        <s v="Lat Pulldown"/>
        <s v="Shoulder Press"/>
        <s v="Leg Press"/>
        <s v="Rope Tricep Pressdown"/>
        <s v="Hex Press Negative"/>
        <s v="Hammer Curl"/>
        <s v="Reverse Curl"/>
        <s v="Sit Up"/>
      </sharedItems>
    </cacheField>
    <cacheField name="Weight Value" numFmtId="0">
      <sharedItems containsMixedTypes="1" containsNumber="1" minValue="4" maxValue="215"/>
    </cacheField>
    <cacheField name="Unit" numFmtId="0">
      <sharedItems count="3">
        <s v="kg"/>
        <s v="N/A"/>
        <s v="lbs"/>
      </sharedItems>
    </cacheField>
    <cacheField name="Reps" numFmtId="0">
      <sharedItems containsSemiMixedTypes="0" containsString="0" containsNumber="1" containsInteger="1" minValue="6" maxValue="14"/>
    </cacheField>
    <cacheField name="Sets" numFmtId="0">
      <sharedItems containsSemiMixedTypes="0" containsString="0" containsNumber="1" containsInteger="1" minValue="1" maxValue="5"/>
    </cacheField>
    <cacheField name="Load" numFmtId="0">
      <sharedItems containsString="0" containsBlank="1" containsNumber="1" containsInteger="1" minValue="10" maxValue="60"/>
    </cacheField>
    <cacheField name="Volumn" numFmtId="0">
      <sharedItems containsMixedTypes="1" containsNumber="1" minValue="72" maxValue="9240"/>
    </cacheField>
    <cacheField name="Notes" numFmtId="0">
      <sharedItems containsBlank="1"/>
    </cacheField>
    <cacheField name="Days (Date (DAY))" numFmtId="0" databaseField="0">
      <fieldGroup base="0">
        <rangePr groupBy="days" startDate="2026-05-19T00:00:00" endDate="2026-07-10T00:00:00"/>
        <groupItems count="368">
          <s v="&lt;19/5/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t"/>
          <s v="2-Sept"/>
          <s v="3-Sept"/>
          <s v="4-Sept"/>
          <s v="5-Sept"/>
          <s v="6-Sept"/>
          <s v="7-Sept"/>
          <s v="8-Sept"/>
          <s v="9-Sept"/>
          <s v="10-Sept"/>
          <s v="11-Sept"/>
          <s v="12-Sept"/>
          <s v="13-Sept"/>
          <s v="14-Sept"/>
          <s v="15-Sept"/>
          <s v="16-Sept"/>
          <s v="17-Sept"/>
          <s v="18-Sept"/>
          <s v="19-Sept"/>
          <s v="20-Sept"/>
          <s v="21-Sept"/>
          <s v="22-Sept"/>
          <s v="23-Sept"/>
          <s v="24-Sept"/>
          <s v="25-Sept"/>
          <s v="26-Sept"/>
          <s v="27-Sept"/>
          <s v="28-Sept"/>
          <s v="29-Sept"/>
          <s v="30-Sept"/>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7/2026"/>
        </groupItems>
      </fieldGroup>
    </cacheField>
    <cacheField name="Months (Date (DAY))" numFmtId="0" databaseField="0">
      <fieldGroup base="0">
        <rangePr groupBy="months" startDate="2026-05-19T00:00:00" endDate="2026-07-10T00:00:00"/>
        <groupItems count="14">
          <s v="&lt;19/5/2026"/>
          <s v="Jan"/>
          <s v="Feb"/>
          <s v="Mar"/>
          <s v="Apr"/>
          <s v="May"/>
          <s v="Jun"/>
          <s v="Jul"/>
          <s v="Aug"/>
          <s v="Sept"/>
          <s v="Oct"/>
          <s v="Nov"/>
          <s v="Dec"/>
          <s v="&gt;10/7/2026"/>
        </groupItems>
      </fieldGroup>
    </cacheField>
  </cacheFields>
  <extLst>
    <ext xmlns:x14="http://schemas.microsoft.com/office/spreadsheetml/2009/9/main" uri="{725AE2AE-9491-48be-B2B4-4EB974FC3084}">
      <x14:pivotCacheDefinition pivotCacheId="11924798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
  <r>
    <x v="0"/>
    <s v="19 May (Tue)"/>
    <x v="0"/>
    <n v="6"/>
    <x v="0"/>
    <n v="10"/>
    <n v="3"/>
    <n v="30"/>
    <n v="180"/>
    <s v="First gym session, weight is not recorded. only remember dumbell weight 6kg but suffer for left hand."/>
  </r>
  <r>
    <x v="0"/>
    <s v="19 May (Tue)"/>
    <x v="1"/>
    <s v="N/A"/>
    <x v="1"/>
    <n v="10"/>
    <n v="3"/>
    <m/>
    <s v=""/>
    <m/>
  </r>
  <r>
    <x v="0"/>
    <s v="19 May (Tue)"/>
    <x v="2"/>
    <s v="N/A"/>
    <x v="1"/>
    <n v="10"/>
    <n v="3"/>
    <m/>
    <s v=""/>
    <m/>
  </r>
  <r>
    <x v="0"/>
    <s v="19 May (Tue)"/>
    <x v="3"/>
    <s v="N/A"/>
    <x v="1"/>
    <n v="10"/>
    <n v="3"/>
    <m/>
    <s v=""/>
    <m/>
  </r>
  <r>
    <x v="0"/>
    <s v="19 May (Tue)"/>
    <x v="4"/>
    <s v="N/A"/>
    <x v="1"/>
    <n v="10"/>
    <n v="3"/>
    <m/>
    <s v=""/>
    <m/>
  </r>
  <r>
    <x v="0"/>
    <s v="19 May (Tue)"/>
    <x v="5"/>
    <s v="N/A"/>
    <x v="1"/>
    <n v="10"/>
    <n v="3"/>
    <m/>
    <s v=""/>
    <m/>
  </r>
  <r>
    <x v="1"/>
    <s v="21 May (Thu)"/>
    <x v="3"/>
    <n v="30"/>
    <x v="2"/>
    <n v="10"/>
    <n v="3"/>
    <n v="30"/>
    <n v="900"/>
    <m/>
  </r>
  <r>
    <x v="1"/>
    <s v="21 May (Thu)"/>
    <x v="4"/>
    <n v="55"/>
    <x v="2"/>
    <n v="10"/>
    <n v="3"/>
    <n v="30"/>
    <n v="1650"/>
    <m/>
  </r>
  <r>
    <x v="1"/>
    <s v="21 May (Thu)"/>
    <x v="5"/>
    <n v="20"/>
    <x v="2"/>
    <n v="10"/>
    <n v="3"/>
    <n v="30"/>
    <n v="600"/>
    <s v="Most difficult exercise"/>
  </r>
  <r>
    <x v="1"/>
    <s v="21 May (Thu)"/>
    <x v="2"/>
    <n v="40"/>
    <x v="2"/>
    <n v="10"/>
    <n v="3"/>
    <n v="30"/>
    <n v="1200"/>
    <m/>
  </r>
  <r>
    <x v="1"/>
    <s v="21 May (Thu)"/>
    <x v="6"/>
    <n v="165"/>
    <x v="2"/>
    <n v="10"/>
    <n v="3"/>
    <n v="30"/>
    <n v="4950"/>
    <m/>
  </r>
  <r>
    <x v="1"/>
    <s v="21 May (Thu)"/>
    <x v="7"/>
    <n v="17.5"/>
    <x v="2"/>
    <n v="10"/>
    <n v="3"/>
    <n v="30"/>
    <n v="525"/>
    <s v="Shoulder involvement noticed"/>
  </r>
  <r>
    <x v="1"/>
    <s v="21 May (Thu)"/>
    <x v="0"/>
    <n v="6"/>
    <x v="0"/>
    <n v="10"/>
    <n v="3"/>
    <n v="30"/>
    <n v="180"/>
    <s v="Left hand only 5 reps on 3rd set"/>
  </r>
  <r>
    <x v="2"/>
    <s v="26 May (Tue)"/>
    <x v="3"/>
    <n v="40"/>
    <x v="2"/>
    <n v="10"/>
    <n v="3"/>
    <n v="30"/>
    <n v="1200"/>
    <m/>
  </r>
  <r>
    <x v="2"/>
    <s v="26 May (Tue)"/>
    <x v="4"/>
    <n v="60"/>
    <x v="2"/>
    <n v="10"/>
    <n v="3"/>
    <n v="30"/>
    <n v="1800"/>
    <m/>
  </r>
  <r>
    <x v="2"/>
    <s v="26 May (Tue)"/>
    <x v="2"/>
    <n v="55"/>
    <x v="2"/>
    <n v="10"/>
    <n v="3"/>
    <n v="30"/>
    <n v="1650"/>
    <m/>
  </r>
  <r>
    <x v="2"/>
    <s v="26 May (Tue)"/>
    <x v="5"/>
    <n v="20"/>
    <x v="2"/>
    <n v="6"/>
    <n v="4"/>
    <n v="24"/>
    <n v="480"/>
    <m/>
  </r>
  <r>
    <x v="2"/>
    <s v="26 May (Tue)"/>
    <x v="6"/>
    <n v="165"/>
    <x v="2"/>
    <n v="14"/>
    <n v="4"/>
    <n v="56"/>
    <n v="9240"/>
    <m/>
  </r>
  <r>
    <x v="2"/>
    <s v="26 May (Tue)"/>
    <x v="7"/>
    <n v="12.5"/>
    <x v="2"/>
    <n v="10"/>
    <n v="3"/>
    <n v="30"/>
    <n v="375"/>
    <m/>
  </r>
  <r>
    <x v="2"/>
    <s v="26 May (Tue)"/>
    <x v="0"/>
    <n v="4"/>
    <x v="0"/>
    <n v="10"/>
    <n v="4"/>
    <n v="40"/>
    <n v="160"/>
    <m/>
  </r>
  <r>
    <x v="2"/>
    <s v="26 May (Tue)"/>
    <x v="1"/>
    <n v="35"/>
    <x v="2"/>
    <n v="8"/>
    <n v="3"/>
    <n v="24"/>
    <n v="840"/>
    <m/>
  </r>
  <r>
    <x v="2"/>
    <s v="26 May (Tue)"/>
    <x v="8"/>
    <n v="6"/>
    <x v="0"/>
    <n v="6"/>
    <n v="2"/>
    <n v="12"/>
    <n v="72"/>
    <m/>
  </r>
  <r>
    <x v="3"/>
    <s v="28 May (Thu)"/>
    <x v="3"/>
    <n v="45"/>
    <x v="2"/>
    <n v="10"/>
    <n v="3"/>
    <n v="30"/>
    <n v="1350"/>
    <m/>
  </r>
  <r>
    <x v="3"/>
    <s v="28 May (Thu)"/>
    <x v="4"/>
    <n v="65"/>
    <x v="2"/>
    <n v="10"/>
    <n v="3"/>
    <n v="30"/>
    <n v="1950"/>
    <m/>
  </r>
  <r>
    <x v="3"/>
    <s v="28 May (Thu)"/>
    <x v="2"/>
    <n v="60"/>
    <x v="2"/>
    <n v="10"/>
    <n v="3"/>
    <n v="30"/>
    <n v="1800"/>
    <m/>
  </r>
  <r>
    <x v="3"/>
    <s v="28 May (Thu)"/>
    <x v="5"/>
    <n v="22.5"/>
    <x v="2"/>
    <n v="8"/>
    <n v="3"/>
    <n v="24"/>
    <n v="540"/>
    <m/>
  </r>
  <r>
    <x v="3"/>
    <s v="28 May (Thu)"/>
    <x v="6"/>
    <n v="165"/>
    <x v="2"/>
    <n v="14"/>
    <n v="3"/>
    <n v="42"/>
    <n v="6930"/>
    <m/>
  </r>
  <r>
    <x v="3"/>
    <s v="28 May (Thu)"/>
    <x v="1"/>
    <n v="35"/>
    <x v="2"/>
    <n v="10"/>
    <n v="3"/>
    <n v="30"/>
    <n v="1050"/>
    <m/>
  </r>
  <r>
    <x v="3"/>
    <s v="28 May (Thu)"/>
    <x v="0"/>
    <n v="4"/>
    <x v="0"/>
    <n v="10"/>
    <n v="3"/>
    <n v="30"/>
    <n v="120"/>
    <m/>
  </r>
  <r>
    <x v="3"/>
    <s v="28 May (Thu)"/>
    <x v="9"/>
    <n v="4"/>
    <x v="0"/>
    <n v="10"/>
    <n v="4"/>
    <n v="40"/>
    <n v="160"/>
    <m/>
  </r>
  <r>
    <x v="3"/>
    <s v="28 May (Thu)"/>
    <x v="10"/>
    <n v="4"/>
    <x v="0"/>
    <n v="10"/>
    <n v="3"/>
    <n v="30"/>
    <n v="120"/>
    <m/>
  </r>
  <r>
    <x v="3"/>
    <s v="28 May (Thu)"/>
    <x v="7"/>
    <n v="12.5"/>
    <x v="2"/>
    <n v="12"/>
    <n v="4"/>
    <n v="48"/>
    <n v="600"/>
    <m/>
  </r>
  <r>
    <x v="3"/>
    <s v="28 May (Thu)"/>
    <x v="11"/>
    <n v="50"/>
    <x v="0"/>
    <n v="8"/>
    <n v="2"/>
    <n v="16"/>
    <n v="800"/>
    <s v="Bodyweight. Ab cramps during exercise, with sit-up bench full strech"/>
  </r>
  <r>
    <x v="4"/>
    <s v="05 Jun (Fri)"/>
    <x v="3"/>
    <n v="45"/>
    <x v="2"/>
    <n v="10"/>
    <n v="3"/>
    <n v="30"/>
    <n v="1350"/>
    <s v="Cut activity, weight and reps. bcs still sick and next day competition. Start control breathing"/>
  </r>
  <r>
    <x v="4"/>
    <s v="05 Jun (Fri)"/>
    <x v="4"/>
    <n v="65"/>
    <x v="2"/>
    <n v="10"/>
    <n v="3"/>
    <n v="30"/>
    <n v="1950"/>
    <m/>
  </r>
  <r>
    <x v="4"/>
    <s v="05 Jun (Fri)"/>
    <x v="2"/>
    <n v="32"/>
    <x v="0"/>
    <n v="8"/>
    <n v="3"/>
    <n v="24"/>
    <n v="768"/>
    <m/>
  </r>
  <r>
    <x v="4"/>
    <s v="05 Jun (Fri)"/>
    <x v="5"/>
    <n v="25"/>
    <x v="2"/>
    <n v="6"/>
    <n v="3"/>
    <n v="18"/>
    <n v="450"/>
    <m/>
  </r>
  <r>
    <x v="4"/>
    <s v="05 Jun (Fri)"/>
    <x v="6"/>
    <n v="165"/>
    <x v="2"/>
    <n v="10"/>
    <n v="3"/>
    <n v="30"/>
    <n v="4950"/>
    <m/>
  </r>
  <r>
    <x v="4"/>
    <s v="05 Jun (Fri)"/>
    <x v="0"/>
    <n v="4"/>
    <x v="0"/>
    <n v="10"/>
    <n v="3"/>
    <n v="30"/>
    <n v="120"/>
    <m/>
  </r>
  <r>
    <x v="4"/>
    <s v="05 Jun (Fri)"/>
    <x v="9"/>
    <n v="4"/>
    <x v="0"/>
    <n v="10"/>
    <n v="3"/>
    <n v="30"/>
    <n v="120"/>
    <m/>
  </r>
  <r>
    <x v="4"/>
    <s v="05 Jun (Fri)"/>
    <x v="7"/>
    <n v="17.5"/>
    <x v="2"/>
    <n v="8"/>
    <n v="3"/>
    <n v="24"/>
    <n v="420"/>
    <m/>
  </r>
  <r>
    <x v="5"/>
    <s v="09 Jun (Tue)"/>
    <x v="3"/>
    <n v="45"/>
    <x v="2"/>
    <n v="12"/>
    <n v="3"/>
    <n v="36"/>
    <n v="1620"/>
    <m/>
  </r>
  <r>
    <x v="5"/>
    <s v="09 Jun (Tue)"/>
    <x v="4"/>
    <n v="65"/>
    <x v="2"/>
    <n v="10"/>
    <n v="3"/>
    <n v="30"/>
    <n v="1950"/>
    <s v="start feel less pressure can up weight"/>
  </r>
  <r>
    <x v="5"/>
    <s v="09 Jun (Tue)"/>
    <x v="2"/>
    <n v="32"/>
    <x v="0"/>
    <n v="10"/>
    <n v="3"/>
    <n v="30"/>
    <n v="960"/>
    <m/>
  </r>
  <r>
    <x v="5"/>
    <s v="09 Jun (Tue)"/>
    <x v="1"/>
    <n v="35"/>
    <x v="0"/>
    <n v="10"/>
    <n v="3"/>
    <n v="30"/>
    <n v="1050"/>
    <m/>
  </r>
  <r>
    <x v="5"/>
    <s v="09 Jun (Tue)"/>
    <x v="5"/>
    <n v="25"/>
    <x v="2"/>
    <n v="7"/>
    <n v="3"/>
    <n v="21"/>
    <n v="525"/>
    <s v="1st set 10 reps then 8 then 7. left side cannot fully up"/>
  </r>
  <r>
    <x v="5"/>
    <s v="09 Jun (Tue)"/>
    <x v="6"/>
    <n v="190"/>
    <x v="2"/>
    <n v="10"/>
    <n v="3"/>
    <n v="30"/>
    <n v="5700"/>
    <s v="only first set is 165lbs"/>
  </r>
  <r>
    <x v="5"/>
    <s v="09 Jun (Tue)"/>
    <x v="0"/>
    <n v="4"/>
    <x v="0"/>
    <n v="10"/>
    <n v="4"/>
    <n v="40"/>
    <n v="160"/>
    <m/>
  </r>
  <r>
    <x v="5"/>
    <s v="09 Jun (Tue)"/>
    <x v="9"/>
    <n v="4"/>
    <x v="0"/>
    <n v="10"/>
    <n v="3"/>
    <n v="30"/>
    <n v="120"/>
    <s v="notice left shoulder is helping"/>
  </r>
  <r>
    <x v="5"/>
    <s v="09 Jun (Tue)"/>
    <x v="7"/>
    <n v="17.5"/>
    <x v="2"/>
    <n v="10"/>
    <n v="4"/>
    <n v="40"/>
    <n v="700"/>
    <s v="Using Pressdown bar feel easier"/>
  </r>
  <r>
    <x v="5"/>
    <s v="09 Jun (Tue)"/>
    <x v="11"/>
    <n v="50"/>
    <x v="0"/>
    <n v="10"/>
    <n v="3"/>
    <n v="30"/>
    <n v="1500"/>
    <s v="Bodyweight. using hip flexors, need adjust"/>
  </r>
  <r>
    <x v="6"/>
    <s v="11 Jun (Thu)"/>
    <x v="3"/>
    <n v="50"/>
    <x v="2"/>
    <n v="10"/>
    <n v="4"/>
    <n v="40"/>
    <n v="2000"/>
    <m/>
  </r>
  <r>
    <x v="6"/>
    <s v="11 Jun (Thu)"/>
    <x v="4"/>
    <n v="70"/>
    <x v="2"/>
    <n v="10"/>
    <n v="3"/>
    <n v="30"/>
    <n v="2100"/>
    <s v="not sure to  grip wide or middle."/>
  </r>
  <r>
    <x v="6"/>
    <s v="11 Jun (Thu)"/>
    <x v="2"/>
    <n v="32"/>
    <x v="0"/>
    <n v="10"/>
    <n v="4"/>
    <n v="40"/>
    <n v="1280"/>
    <m/>
  </r>
  <r>
    <x v="6"/>
    <s v="11 Jun (Thu)"/>
    <x v="1"/>
    <n v="40"/>
    <x v="0"/>
    <n v="10"/>
    <n v="1"/>
    <n v="10"/>
    <n v="400"/>
    <m/>
  </r>
  <r>
    <x v="6"/>
    <s v="11 Jun (Thu)"/>
    <x v="5"/>
    <n v="25"/>
    <x v="2"/>
    <n v="10"/>
    <n v="3"/>
    <n v="30"/>
    <n v="750"/>
    <s v="didt back to fully start position"/>
  </r>
  <r>
    <x v="6"/>
    <s v="11 Jun (Thu)"/>
    <x v="6"/>
    <n v="190"/>
    <x v="2"/>
    <n v="10"/>
    <n v="3"/>
    <n v="30"/>
    <n v="5700"/>
    <s v="third set 8 rep while fell a bit cramp at muscle above knee "/>
  </r>
  <r>
    <x v="6"/>
    <s v="11 Jun (Thu)"/>
    <x v="0"/>
    <n v="4"/>
    <x v="0"/>
    <n v="10"/>
    <n v="3"/>
    <n v="30"/>
    <n v="120"/>
    <m/>
  </r>
  <r>
    <x v="6"/>
    <s v="11 Jun (Thu)"/>
    <x v="9"/>
    <n v="4"/>
    <x v="0"/>
    <n v="10"/>
    <n v="3"/>
    <n v="30"/>
    <n v="120"/>
    <s v="adjusted the curl angle to stright up to shoulder instead of chest"/>
  </r>
  <r>
    <x v="6"/>
    <s v="11 Jun (Thu)"/>
    <x v="7"/>
    <n v="17.5"/>
    <x v="2"/>
    <n v="12"/>
    <n v="4"/>
    <n v="48"/>
    <n v="840"/>
    <s v="Using Pressdown bar feel easier"/>
  </r>
  <r>
    <x v="7"/>
    <s v="16 Jun (Tue)"/>
    <x v="2"/>
    <n v="32"/>
    <x v="0"/>
    <n v="10"/>
    <n v="4"/>
    <n v="40"/>
    <n v="1280"/>
    <m/>
  </r>
  <r>
    <x v="7"/>
    <s v="16 Jun (Tue)"/>
    <x v="3"/>
    <n v="55"/>
    <x v="2"/>
    <n v="10"/>
    <n v="4"/>
    <n v="40"/>
    <n v="2200"/>
    <s v="only first set is 50lbs"/>
  </r>
  <r>
    <x v="7"/>
    <s v="16 Jun (Tue)"/>
    <x v="5"/>
    <n v="25"/>
    <x v="2"/>
    <n v="12"/>
    <n v="5"/>
    <n v="60"/>
    <n v="1500"/>
    <s v="only first set is 22.5lbs"/>
  </r>
  <r>
    <x v="7"/>
    <s v="16 Jun (Tue)"/>
    <x v="4"/>
    <n v="70"/>
    <x v="2"/>
    <n v="10"/>
    <n v="3"/>
    <n v="30"/>
    <n v="2100"/>
    <s v="Ready for next increase"/>
  </r>
  <r>
    <x v="7"/>
    <s v="16 Jun (Tue)"/>
    <x v="0"/>
    <n v="4"/>
    <x v="0"/>
    <n v="10"/>
    <n v="3"/>
    <n v="30"/>
    <n v="120"/>
    <m/>
  </r>
  <r>
    <x v="7"/>
    <s v="16 Jun (Tue)"/>
    <x v="9"/>
    <n v="4"/>
    <x v="0"/>
    <n v="10"/>
    <n v="3"/>
    <n v="30"/>
    <n v="120"/>
    <m/>
  </r>
  <r>
    <x v="7"/>
    <s v="16 Jun (Tue)"/>
    <x v="6"/>
    <n v="190"/>
    <x v="2"/>
    <n v="10"/>
    <n v="3"/>
    <n v="30"/>
    <n v="5700"/>
    <m/>
  </r>
  <r>
    <x v="7"/>
    <s v="16 Jun (Tue)"/>
    <x v="7"/>
    <n v="17.5"/>
    <x v="2"/>
    <n v="12"/>
    <n v="4"/>
    <n v="48"/>
    <n v="840"/>
    <s v="Use tricep rope handle"/>
  </r>
  <r>
    <x v="8"/>
    <s v="18 Jun (Thu)"/>
    <x v="3"/>
    <n v="55"/>
    <x v="2"/>
    <n v="10"/>
    <n v="4"/>
    <n v="40"/>
    <n v="2200"/>
    <s v="only last set is 60lbs"/>
  </r>
  <r>
    <x v="8"/>
    <s v="18 Jun (Thu)"/>
    <x v="4"/>
    <n v="75"/>
    <x v="2"/>
    <n v="10"/>
    <n v="4"/>
    <n v="40"/>
    <n v="3000"/>
    <m/>
  </r>
  <r>
    <x v="8"/>
    <s v="18 Jun (Thu)"/>
    <x v="2"/>
    <n v="36.6"/>
    <x v="0"/>
    <n v="10"/>
    <n v="4"/>
    <n v="40"/>
    <n v="1464"/>
    <m/>
  </r>
  <r>
    <x v="8"/>
    <s v="18 Jun (Thu)"/>
    <x v="5"/>
    <n v="27.5"/>
    <x v="2"/>
    <n v="10"/>
    <n v="4"/>
    <n v="40"/>
    <n v="1100"/>
    <s v="only last set is 30lbs"/>
  </r>
  <r>
    <x v="8"/>
    <s v="18 Jun (Thu)"/>
    <x v="0"/>
    <n v="4"/>
    <x v="0"/>
    <n v="10"/>
    <n v="3"/>
    <n v="30"/>
    <n v="120"/>
    <s v="Standing version position, feel more easier"/>
  </r>
  <r>
    <x v="8"/>
    <s v="18 Jun (Thu)"/>
    <x v="9"/>
    <n v="4"/>
    <x v="0"/>
    <n v="10"/>
    <n v="3"/>
    <n v="30"/>
    <n v="120"/>
    <s v="Standing version position, feel more easier"/>
  </r>
  <r>
    <x v="8"/>
    <s v="18 Jun (Thu)"/>
    <x v="6"/>
    <n v="190"/>
    <x v="2"/>
    <n v="10"/>
    <n v="3"/>
    <n v="30"/>
    <n v="5700"/>
    <m/>
  </r>
  <r>
    <x v="8"/>
    <s v="18 Jun (Thu)"/>
    <x v="11"/>
    <n v="50"/>
    <x v="0"/>
    <n v="10"/>
    <n v="3"/>
    <n v="30"/>
    <n v="1500"/>
    <s v="Bodyweight"/>
  </r>
  <r>
    <x v="8"/>
    <s v="18 Jun (Thu)"/>
    <x v="7"/>
    <n v="17.5"/>
    <x v="2"/>
    <n v="11"/>
    <n v="4"/>
    <n v="44"/>
    <n v="770"/>
    <m/>
  </r>
  <r>
    <x v="9"/>
    <s v="23 Jun (Tue)"/>
    <x v="3"/>
    <n v="60"/>
    <x v="2"/>
    <n v="10"/>
    <n v="4"/>
    <n v="40"/>
    <n v="2400"/>
    <m/>
  </r>
  <r>
    <x v="9"/>
    <s v="23 Jun (Tue)"/>
    <x v="4"/>
    <n v="75"/>
    <x v="2"/>
    <n v="11"/>
    <n v="4"/>
    <n v="44"/>
    <n v="3300"/>
    <m/>
  </r>
  <r>
    <x v="9"/>
    <s v="23 Jun (Tue)"/>
    <x v="2"/>
    <n v="36.6"/>
    <x v="0"/>
    <n v="10"/>
    <n v="4"/>
    <n v="40"/>
    <n v="1464"/>
    <s v="forth set only 8 rep"/>
  </r>
  <r>
    <x v="9"/>
    <s v="23 Jun (Tue)"/>
    <x v="6"/>
    <n v="190"/>
    <x v="2"/>
    <n v="10"/>
    <n v="4"/>
    <n v="40"/>
    <n v="7600"/>
    <m/>
  </r>
  <r>
    <x v="9"/>
    <s v="23 Jun (Tue)"/>
    <x v="5"/>
    <n v="30"/>
    <x v="2"/>
    <n v="10"/>
    <n v="4"/>
    <n v="40"/>
    <n v="1200"/>
    <m/>
  </r>
  <r>
    <x v="9"/>
    <s v="23 Jun (Tue)"/>
    <x v="7"/>
    <n v="17.5"/>
    <x v="2"/>
    <n v="12"/>
    <n v="4"/>
    <n v="48"/>
    <n v="840"/>
    <m/>
  </r>
  <r>
    <x v="9"/>
    <s v="23 Jun (Tue)"/>
    <x v="0"/>
    <n v="4"/>
    <x v="0"/>
    <n v="10"/>
    <n v="4"/>
    <n v="40"/>
    <n v="160"/>
    <s v="Back to seated position, can attempt 12 reps/6kg next session"/>
  </r>
  <r>
    <x v="9"/>
    <s v="23 Jun (Tue)"/>
    <x v="9"/>
    <n v="4"/>
    <x v="0"/>
    <n v="12"/>
    <n v="4"/>
    <n v="48"/>
    <n v="192"/>
    <s v="Back to seated position"/>
  </r>
  <r>
    <x v="9"/>
    <s v="23 Jun (Tue)"/>
    <x v="11"/>
    <n v="50"/>
    <x v="0"/>
    <n v="11"/>
    <n v="3"/>
    <n v="33"/>
    <n v="1650"/>
    <s v="Bodyweight"/>
  </r>
  <r>
    <x v="10"/>
    <s v="25 Jun (Thu)"/>
    <x v="4"/>
    <n v="75"/>
    <x v="2"/>
    <n v="12"/>
    <n v="4"/>
    <n v="48"/>
    <n v="3600"/>
    <m/>
  </r>
  <r>
    <x v="10"/>
    <s v="25 Jun (Thu)"/>
    <x v="5"/>
    <n v="30"/>
    <x v="2"/>
    <n v="11"/>
    <n v="4"/>
    <n v="44"/>
    <n v="1320"/>
    <m/>
  </r>
  <r>
    <x v="10"/>
    <s v="25 Jun (Thu)"/>
    <x v="3"/>
    <n v="60"/>
    <x v="2"/>
    <n v="10"/>
    <n v="4"/>
    <n v="40"/>
    <n v="2400"/>
    <m/>
  </r>
  <r>
    <x v="10"/>
    <s v="25 Jun (Thu)"/>
    <x v="2"/>
    <n v="36.6"/>
    <x v="0"/>
    <n v="12"/>
    <n v="4"/>
    <n v="48"/>
    <n v="1756.8000000000002"/>
    <m/>
  </r>
  <r>
    <x v="10"/>
    <s v="25 Jun (Thu)"/>
    <x v="7"/>
    <n v="17.5"/>
    <x v="2"/>
    <n v="12"/>
    <n v="4"/>
    <n v="48"/>
    <n v="840"/>
    <m/>
  </r>
  <r>
    <x v="10"/>
    <s v="25 Jun (Thu)"/>
    <x v="0"/>
    <n v="5"/>
    <x v="0"/>
    <n v="10"/>
    <n v="4"/>
    <n v="40"/>
    <n v="200"/>
    <s v="forth set 8 rep"/>
  </r>
  <r>
    <x v="10"/>
    <s v="25 Jun (Thu)"/>
    <x v="9"/>
    <n v="5"/>
    <x v="0"/>
    <n v="8"/>
    <n v="4"/>
    <n v="32"/>
    <n v="160"/>
    <s v="first set 10 rep"/>
  </r>
  <r>
    <x v="10"/>
    <s v="25 Jun (Thu)"/>
    <x v="11"/>
    <n v="62"/>
    <x v="0"/>
    <n v="10"/>
    <n v="4"/>
    <n v="40"/>
    <n v="2480"/>
    <s v="can try 12 rep next session"/>
  </r>
  <r>
    <x v="10"/>
    <s v="25 Jun (Thu)"/>
    <x v="6"/>
    <n v="190"/>
    <x v="2"/>
    <n v="11"/>
    <n v="4"/>
    <n v="44"/>
    <n v="8360"/>
    <m/>
  </r>
  <r>
    <x v="11"/>
    <s v="29 Jun (Mon)"/>
    <x v="3"/>
    <n v="75"/>
    <x v="2"/>
    <n v="10"/>
    <n v="3"/>
    <n v="30"/>
    <n v="2250"/>
    <s v="Wrong see Lat previous weight, but found out actually can "/>
  </r>
  <r>
    <x v="11"/>
    <s v="29 Jun (Mon)"/>
    <x v="4"/>
    <n v="75"/>
    <x v="2"/>
    <n v="10"/>
    <n v="3"/>
    <n v="30"/>
    <n v="2250"/>
    <m/>
  </r>
  <r>
    <x v="11"/>
    <s v="29 Jun (Mon)"/>
    <x v="2"/>
    <n v="39"/>
    <x v="0"/>
    <n v="10"/>
    <n v="3"/>
    <n v="30"/>
    <n v="1170"/>
    <m/>
  </r>
  <r>
    <x v="11"/>
    <s v="29 Jun (Mon)"/>
    <x v="6"/>
    <n v="190"/>
    <x v="2"/>
    <n v="11"/>
    <n v="4"/>
    <n v="44"/>
    <n v="8360"/>
    <m/>
  </r>
  <r>
    <x v="11"/>
    <s v="29 Jun (Mon)"/>
    <x v="5"/>
    <n v="32.5"/>
    <x v="2"/>
    <n v="10"/>
    <n v="4"/>
    <n v="40"/>
    <n v="1300"/>
    <m/>
  </r>
  <r>
    <x v="11"/>
    <s v="29 Jun (Mon)"/>
    <x v="0"/>
    <n v="5"/>
    <x v="0"/>
    <n v="10"/>
    <n v="4"/>
    <n v="40"/>
    <n v="200"/>
    <m/>
  </r>
  <r>
    <x v="11"/>
    <s v="29 Jun (Mon)"/>
    <x v="9"/>
    <n v="5"/>
    <x v="0"/>
    <n v="10"/>
    <n v="4"/>
    <n v="40"/>
    <n v="200"/>
    <m/>
  </r>
  <r>
    <x v="11"/>
    <s v="29 Jun (Mon)"/>
    <x v="7"/>
    <n v="22.5"/>
    <x v="2"/>
    <n v="10"/>
    <n v="3"/>
    <n v="30"/>
    <n v="675"/>
    <s v="start with one set 17.5lbs 12 rep"/>
  </r>
  <r>
    <x v="11"/>
    <s v="29 Jun (Mon)"/>
    <x v="11"/>
    <n v="60"/>
    <x v="0"/>
    <n v="12"/>
    <n v="4"/>
    <n v="48"/>
    <n v="2880"/>
    <s v="Bodyweight"/>
  </r>
  <r>
    <x v="12"/>
    <s v="03 Jul (Fri)"/>
    <x v="3"/>
    <n v="75"/>
    <x v="2"/>
    <n v="10"/>
    <n v="4"/>
    <n v="40"/>
    <n v="3000"/>
    <m/>
  </r>
  <r>
    <x v="12"/>
    <s v="03 Jul (Fri)"/>
    <x v="4"/>
    <n v="80"/>
    <x v="2"/>
    <n v="10"/>
    <n v="4"/>
    <n v="40"/>
    <n v="3200"/>
    <m/>
  </r>
  <r>
    <x v="12"/>
    <s v="03 Jul (Fri)"/>
    <x v="5"/>
    <n v="35"/>
    <x v="2"/>
    <n v="10"/>
    <n v="4"/>
    <n v="40"/>
    <n v="1400"/>
    <m/>
  </r>
  <r>
    <x v="12"/>
    <s v="03 Jul (Fri)"/>
    <x v="2"/>
    <n v="39"/>
    <x v="0"/>
    <n v="8"/>
    <n v="4"/>
    <n v="32"/>
    <n v="1248"/>
    <s v="incresed ROM (Range of motoin), more harder"/>
  </r>
  <r>
    <x v="12"/>
    <s v="03 Jul (Fri)"/>
    <x v="6"/>
    <n v="215"/>
    <x v="2"/>
    <n v="10"/>
    <n v="4"/>
    <n v="40"/>
    <n v="8600"/>
    <m/>
  </r>
  <r>
    <x v="12"/>
    <s v="03 Jul (Fri)"/>
    <x v="0"/>
    <n v="5"/>
    <x v="0"/>
    <n v="10"/>
    <n v="4"/>
    <n v="40"/>
    <n v="200"/>
    <m/>
  </r>
  <r>
    <x v="12"/>
    <s v="03 Jul (Fri)"/>
    <x v="9"/>
    <n v="5"/>
    <x v="0"/>
    <n v="10"/>
    <n v="4"/>
    <n v="40"/>
    <n v="200"/>
    <m/>
  </r>
  <r>
    <x v="12"/>
    <s v="03 Jul (Fri)"/>
    <x v="7"/>
    <n v="22.5"/>
    <x v="2"/>
    <n v="12"/>
    <n v="4"/>
    <n v="48"/>
    <n v="1080"/>
    <s v="first set 10 rep"/>
  </r>
  <r>
    <x v="12"/>
    <s v="03 Jul (Fri)"/>
    <x v="11"/>
    <n v="55"/>
    <x v="0"/>
    <n v="10"/>
    <n v="4"/>
    <n v="40"/>
    <n v="2200"/>
    <s v="first set 12 rep"/>
  </r>
  <r>
    <x v="13"/>
    <s v="07 Jul (Tue)"/>
    <x v="3"/>
    <n v="75"/>
    <x v="2"/>
    <n v="12"/>
    <n v="4"/>
    <n v="48"/>
    <n v="3600"/>
    <m/>
  </r>
  <r>
    <x v="13"/>
    <s v="07 Jul (Tue)"/>
    <x v="4"/>
    <n v="85"/>
    <x v="2"/>
    <n v="10"/>
    <n v="4"/>
    <n v="40"/>
    <n v="3400"/>
    <m/>
  </r>
  <r>
    <x v="13"/>
    <s v="07 Jul (Tue)"/>
    <x v="5"/>
    <n v="40"/>
    <x v="2"/>
    <n v="10"/>
    <n v="4"/>
    <n v="40"/>
    <n v="1600"/>
    <s v="last set - 8 rep"/>
  </r>
  <r>
    <x v="13"/>
    <s v="07 Jul (Tue)"/>
    <x v="2"/>
    <n v="39"/>
    <x v="0"/>
    <n v="10"/>
    <n v="4"/>
    <n v="40"/>
    <n v="1560"/>
    <m/>
  </r>
  <r>
    <x v="13"/>
    <s v="07 Jul (Tue)"/>
    <x v="7"/>
    <n v="22.5"/>
    <x v="2"/>
    <n v="12"/>
    <n v="4"/>
    <n v="48"/>
    <n v="1080"/>
    <m/>
  </r>
  <r>
    <x v="13"/>
    <s v="07 Jul (Tue)"/>
    <x v="0"/>
    <n v="5"/>
    <x v="0"/>
    <n v="12"/>
    <n v="4"/>
    <n v="48"/>
    <n v="240"/>
    <s v="suffer on last 2 sen for last 2 rep"/>
  </r>
  <r>
    <x v="13"/>
    <s v="07 Jul (Tue)"/>
    <x v="9"/>
    <n v="5"/>
    <x v="0"/>
    <n v="12"/>
    <n v="4"/>
    <n v="48"/>
    <n v="240"/>
    <s v="left shoulder moving back"/>
  </r>
  <r>
    <x v="13"/>
    <s v="07 Jul (Tue)"/>
    <x v="6"/>
    <n v="215"/>
    <x v="2"/>
    <n v="10"/>
    <n v="4"/>
    <n v="40"/>
    <n v="8600"/>
    <m/>
  </r>
  <r>
    <x v="13"/>
    <s v="07 Jul (Tue)"/>
    <x v="11"/>
    <n v="55"/>
    <x v="0"/>
    <n v="12"/>
    <n v="4"/>
    <n v="48"/>
    <n v="2640"/>
    <s v="inclene reduce"/>
  </r>
  <r>
    <x v="14"/>
    <s v="09 Jul (Thu)"/>
    <x v="3"/>
    <n v="80"/>
    <x v="2"/>
    <n v="10"/>
    <n v="4"/>
    <n v="40"/>
    <n v="3200"/>
    <m/>
  </r>
  <r>
    <x v="14"/>
    <s v="09 Jul (Thu)"/>
    <x v="5"/>
    <n v="40"/>
    <x v="2"/>
    <n v="10"/>
    <n v="4"/>
    <n v="40"/>
    <n v="1600"/>
    <m/>
  </r>
  <r>
    <x v="14"/>
    <s v="09 Jul (Thu)"/>
    <x v="4"/>
    <n v="85"/>
    <x v="2"/>
    <n v="12"/>
    <n v="4"/>
    <n v="48"/>
    <n v="4080"/>
    <m/>
  </r>
  <r>
    <x v="14"/>
    <s v="09 Jul (Thu)"/>
    <x v="2"/>
    <n v="39"/>
    <x v="0"/>
    <n v="12"/>
    <n v="4"/>
    <n v="48"/>
    <n v="1872"/>
    <m/>
  </r>
  <r>
    <x v="14"/>
    <s v="09 Jul (Thu)"/>
    <x v="0"/>
    <n v="5"/>
    <x v="0"/>
    <n v="12"/>
    <n v="4"/>
    <n v="48"/>
    <n v="240"/>
    <m/>
  </r>
  <r>
    <x v="14"/>
    <s v="09 Jul (Thu)"/>
    <x v="9"/>
    <n v="5"/>
    <x v="0"/>
    <n v="12"/>
    <n v="4"/>
    <n v="48"/>
    <n v="240"/>
    <m/>
  </r>
  <r>
    <x v="14"/>
    <s v="09 Jul (Thu)"/>
    <x v="11"/>
    <n v="55"/>
    <x v="0"/>
    <n v="12"/>
    <n v="4"/>
    <n v="48"/>
    <n v="2640"/>
    <s v="Bodyweight"/>
  </r>
  <r>
    <x v="14"/>
    <s v="09 Jul (Thu)"/>
    <x v="7"/>
    <n v="22.5"/>
    <x v="2"/>
    <n v="12"/>
    <n v="4"/>
    <n v="48"/>
    <n v="1080"/>
    <s v="last 2 rep still h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CBF9E5-83F8-4701-A5FD-1FA4F3CE4F00}" name="Volum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9" firstHeaderRow="1" firstDataRow="1" firstDataCol="1"/>
  <pivotFields count="12">
    <pivotField axis="axisRow" numFmtId="165" showAll="0">
      <items count="16">
        <item x="0"/>
        <item x="1"/>
        <item x="2"/>
        <item x="3"/>
        <item x="4"/>
        <item x="5"/>
        <item x="6"/>
        <item x="7"/>
        <item x="8"/>
        <item x="9"/>
        <item x="10"/>
        <item x="11"/>
        <item x="12"/>
        <item x="13"/>
        <item x="14"/>
        <item t="default"/>
      </items>
    </pivotField>
    <pivotField showAll="0"/>
    <pivotField showAll="0">
      <items count="13">
        <item x="0"/>
        <item x="2"/>
        <item x="9"/>
        <item x="8"/>
        <item x="4"/>
        <item x="1"/>
        <item x="6"/>
        <item x="10"/>
        <item x="7"/>
        <item x="3"/>
        <item x="5"/>
        <item x="11"/>
        <item t="default"/>
      </items>
    </pivotField>
    <pivotField showAll="0"/>
    <pivotField showAll="0">
      <items count="4">
        <item x="0"/>
        <item x="2"/>
        <item x="1"/>
        <item t="default"/>
      </items>
    </pivotField>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Volumn" fld="8" baseField="1" baseItem="0"/>
  </dataFields>
  <formats count="2">
    <format dxfId="5">
      <pivotArea outline="0" collapsedLevelsAreSubtotals="1" fieldPosition="0"/>
    </format>
    <format dxfId="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60FD9D-B128-499B-893B-854515E3D5B6}" name="WeightXLoa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C37" firstHeaderRow="0" firstDataRow="1" firstDataCol="1"/>
  <pivotFields count="12">
    <pivotField axis="axisRow" numFmtId="165" showAll="0">
      <items count="16">
        <item x="0"/>
        <item x="1"/>
        <item x="2"/>
        <item x="3"/>
        <item x="4"/>
        <item x="5"/>
        <item x="6"/>
        <item x="7"/>
        <item x="8"/>
        <item x="9"/>
        <item x="10"/>
        <item x="11"/>
        <item x="12"/>
        <item x="13"/>
        <item x="14"/>
        <item t="default"/>
      </items>
    </pivotField>
    <pivotField showAll="0"/>
    <pivotField showAll="0">
      <items count="13">
        <item x="0"/>
        <item x="2"/>
        <item x="9"/>
        <item x="8"/>
        <item x="4"/>
        <item x="1"/>
        <item x="6"/>
        <item x="10"/>
        <item x="7"/>
        <item x="3"/>
        <item x="5"/>
        <item x="11"/>
        <item t="default"/>
      </items>
    </pivotField>
    <pivotField dataField="1" showAll="0"/>
    <pivotField showAll="0"/>
    <pivotField showAll="0"/>
    <pivotField showAll="0"/>
    <pivotField dataField="1"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Weight" fld="3" baseField="0" baseItem="0"/>
    <dataField name="Load (Set*Rep)" fld="7" baseField="0" baseItem="0"/>
  </dataFields>
  <formats count="4">
    <format dxfId="9">
      <pivotArea outline="0" collapsedLevelsAreSubtotals="1" fieldPosition="0">
        <references count="1">
          <reference field="4294967294" count="1" selected="0">
            <x v="0"/>
          </reference>
        </references>
      </pivotArea>
    </format>
    <format dxfId="8">
      <pivotArea dataOnly="0" labelOnly="1" outline="0" fieldPosition="0">
        <references count="1">
          <reference field="4294967294" count="1">
            <x v="0"/>
          </reference>
        </references>
      </pivotArea>
    </format>
    <format dxfId="7">
      <pivotArea outline="0" collapsedLevelsAreSubtotals="1" fieldPosition="0">
        <references count="1">
          <reference field="4294967294" count="1" selected="0">
            <x v="1"/>
          </reference>
        </references>
      </pivotArea>
    </format>
    <format dxfId="6">
      <pivotArea dataOnly="0" labelOnly="1" outline="0" fieldPosition="0">
        <references count="1">
          <reference field="4294967294" count="1">
            <x v="1"/>
          </reference>
        </references>
      </pivotArea>
    </format>
  </formats>
  <chartFormats count="13">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rcise" xr10:uid="{7DA9AB01-EAF8-4831-9F9B-C1DDA9DEFBAF}" sourceName="Exercise">
  <pivotTables>
    <pivotTable tabId="4" name="Volumn"/>
    <pivotTable tabId="4" name="WeightXLoad"/>
  </pivotTables>
  <data>
    <tabular pivotCacheId="1192479867">
      <items count="12">
        <i x="0" s="1"/>
        <i x="2" s="1"/>
        <i x="9" s="1"/>
        <i x="8" s="1"/>
        <i x="4" s="1"/>
        <i x="1" s="1"/>
        <i x="6" s="1"/>
        <i x="10" s="1"/>
        <i x="7" s="1"/>
        <i x="3" s="1"/>
        <i x="5"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 xr10:uid="{FBD1688F-FC1E-48B0-934B-533418447B38}" sourceName="Unit">
  <pivotTables>
    <pivotTable tabId="4" name="Volumn"/>
  </pivotTables>
  <data>
    <tabular pivotCacheId="119247986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ercise" xr10:uid="{8856A6C5-E6E5-41C2-843D-A137F473F0BC}" cache="Slicer_Exercise" caption="Exercise" rowHeight="241300"/>
  <slicer name="Unit" xr10:uid="{2F33A29F-EAB6-40DB-9A1D-BC65A2CB4532}" cache="Slicer_Unit" caption="Uni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E06291-0E95-4A53-AE49-D804F344BD8F}" name="log_5" displayName="log_5" ref="A1:J132" totalsRowShown="0" headerRowCellStyle="Good" dataCellStyle="Good">
  <autoFilter ref="A1:J132" xr:uid="{1C668551-4566-4913-97F8-B5235C80DAE1}"/>
  <tableColumns count="10">
    <tableColumn id="1" xr3:uid="{86E5C415-8BED-4E57-886D-A7BD88A7F826}" name="Date (DAY)" dataDxfId="44" dataCellStyle="Good"/>
    <tableColumn id="9" xr3:uid="{1BCCA896-E615-4BDA-854A-6B6A01600B34}" name="Display Date" dataDxfId="43" dataCellStyle="Good"/>
    <tableColumn id="2" xr3:uid="{D3FCA8B5-8FF2-4C84-A433-FE56817C4708}" name="Exercise" dataCellStyle="Good"/>
    <tableColumn id="3" xr3:uid="{2D97F96E-33B3-492B-8D8B-C4CD57561F71}" name="Weight Value" dataDxfId="42" dataCellStyle="Good"/>
    <tableColumn id="4" xr3:uid="{17D33BE6-58B6-4D2A-8644-794CB1D8589D}" name="Unit" dataDxfId="41" dataCellStyle="Good"/>
    <tableColumn id="5" xr3:uid="{9CB45A81-6072-4BD6-AEF4-9DE697A12998}" name="Reps" dataDxfId="40" dataCellStyle="Good"/>
    <tableColumn id="6" xr3:uid="{B911EEAA-8BD6-4054-B5F7-BA13C1105030}" name="Sets" dataDxfId="39" dataCellStyle="Good"/>
    <tableColumn id="10" xr3:uid="{43E153EA-9445-4F48-969B-E8F5CD35508C}" name="Load" dataDxfId="38" dataCellStyle="Good">
      <calculatedColumnFormula>IFERROR(log_5[[#This Row],[Reps]]*log_5[[#This Row],[Sets]],"")</calculatedColumnFormula>
    </tableColumn>
    <tableColumn id="8" xr3:uid="{4C745977-EE07-4A0F-9152-582D9A4B2D26}" name="Volumn" dataDxfId="37" dataCellStyle="Good">
      <calculatedColumnFormula>IFERROR(log_5[[#This Row],[Weight Value]]*log_5[[#This Row],[Reps]]*log_5[[#This Row],[Sets]],"")</calculatedColumnFormula>
    </tableColumn>
    <tableColumn id="7" xr3:uid="{51C3545A-8E5D-4288-847F-E55A393346E8}" name="Notes" dataCellStyle="Goo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B6CC9D5-D79B-4E94-AB10-B8165385EF46}" name="log_8" displayName="log_8" ref="A1:J131" totalsRowShown="0" headerRowDxfId="36">
  <autoFilter ref="A1:J131" xr:uid="{1C668551-4566-4913-97F8-B5235C80DAE1}"/>
  <tableColumns count="10">
    <tableColumn id="1" xr3:uid="{1116E6B9-D1F6-4287-A411-BEFEDEE5D4E9}" name="Date (DAY)" dataDxfId="35"/>
    <tableColumn id="9" xr3:uid="{25CD41BB-BFF5-446F-9099-06731D74D58A}" name="Display Date" dataDxfId="34"/>
    <tableColumn id="2" xr3:uid="{00E3D3A4-F82C-4484-8F7A-3A20625DCD2D}" name="Exercise" dataDxfId="33"/>
    <tableColumn id="3" xr3:uid="{7D05226F-4566-43ED-B928-108DB8D7D500}" name="Weight Value" dataDxfId="32"/>
    <tableColumn id="4" xr3:uid="{96AB5B8B-E610-4593-8246-1D0891F1CF76}" name="Unit" dataDxfId="31"/>
    <tableColumn id="5" xr3:uid="{467DFE6B-45AE-4830-8E03-694B2FD294AF}" name="Reps" dataDxfId="30"/>
    <tableColumn id="6" xr3:uid="{7EB89D93-4359-419A-8051-F8E299E3E5AD}" name="Sets" dataDxfId="29"/>
    <tableColumn id="10" xr3:uid="{D079D1F7-A572-41D1-AC30-A88F6641B7B3}" name="Load" dataDxfId="28">
      <calculatedColumnFormula>IFERROR(log_8[[#This Row],[Reps]]*log_8[[#This Row],[Sets]],"")</calculatedColumnFormula>
    </tableColumn>
    <tableColumn id="8" xr3:uid="{6843074B-42D6-4F5A-A7DF-791969053F7A}" name="Volumn" dataDxfId="27">
      <calculatedColumnFormula>IFERROR(log_8[[#This Row],[Weight Value]]*log_8[[#This Row],[Reps]]*log_8[[#This Row],[Sets]],"")</calculatedColumnFormula>
    </tableColumn>
    <tableColumn id="7" xr3:uid="{E6ED8725-3BE5-4054-A620-EDC028D147E0}" name="Notes" dataDxfId="26"/>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CC5717-739B-417E-823C-167B1A854DD5}" name="ExerciseDropdown" displayName="ExerciseDropdown" ref="A1:A21" totalsRowShown="0" headerRowDxfId="25" headerRowBorderDxfId="24" tableBorderDxfId="23" totalsRowBorderDxfId="22">
  <autoFilter ref="A1:A21" xr:uid="{11CC5717-739B-417E-823C-167B1A854DD5}"/>
  <tableColumns count="1">
    <tableColumn id="1" xr3:uid="{4892698B-D22B-4ABA-8F2F-B8485A30DF89}" name="Exercis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84BDC9-EBFC-495A-B04A-D65C06BE80FE}" name="UnitDropdown" displayName="UnitDropdown" ref="C2:C4" totalsRowShown="0" headerRowDxfId="21">
  <autoFilter ref="C2:C4" xr:uid="{8984BDC9-EBFC-495A-B04A-D65C06BE80FE}"/>
  <tableColumns count="1">
    <tableColumn id="1" xr3:uid="{5ADACCAC-A52F-46A7-8525-C8B07DA97B05}" name="Uni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668551-4566-4913-97F8-B5235C80DAE1}" name="log" displayName="log" ref="A1:J131" totalsRowShown="0" headerRowDxfId="20">
  <autoFilter ref="A1:J131" xr:uid="{1C668551-4566-4913-97F8-B5235C80DAE1}"/>
  <tableColumns count="10">
    <tableColumn id="1" xr3:uid="{C72DA5CE-C426-4983-A3A3-D035FD1EC3C5}" name="Date (DAY)" dataDxfId="19"/>
    <tableColumn id="9" xr3:uid="{857F57BD-1897-4A4F-A87C-FC8E9A5D44D7}" name="Display Date" dataDxfId="18">
      <calculatedColumnFormula>TEXT(log[[#This Row],[Date (DAY)]],"dd MMM (ddd)")</calculatedColumnFormula>
    </tableColumn>
    <tableColumn id="2" xr3:uid="{E818F8E6-DDA0-41CE-99EB-701C38C44D93}" name="Exercise" dataDxfId="17"/>
    <tableColumn id="3" xr3:uid="{D4571C24-D528-4711-B1AC-22105A0E684B}" name="Weight Value" dataDxfId="16"/>
    <tableColumn id="4" xr3:uid="{8D7F122A-D821-45D3-930D-B41E849006E6}" name="Unit" dataDxfId="15"/>
    <tableColumn id="5" xr3:uid="{D5FCF0AA-9840-453A-9372-4BB7DB1A8A85}" name="Reps" dataDxfId="14"/>
    <tableColumn id="6" xr3:uid="{B64D7AFA-44F3-4BC9-A9A0-911394AE5C06}" name="Sets" dataDxfId="13"/>
    <tableColumn id="10" xr3:uid="{826FD012-3856-4CF3-AC1D-DAECDB28FB6F}" name="Load" dataDxfId="12">
      <calculatedColumnFormula>IFERROR(log[[#This Row],[Reps]]*log[[#This Row],[Sets]],"")</calculatedColumnFormula>
    </tableColumn>
    <tableColumn id="8" xr3:uid="{6E838847-A055-4231-A687-88B815712736}" name="Volumn" dataDxfId="11">
      <calculatedColumnFormula>IFERROR(log[[#This Row],[Weight Value]]*log[[#This Row],[Reps]]*log[[#This Row],[Sets]],"")</calculatedColumnFormula>
    </tableColumn>
    <tableColumn id="7" xr3:uid="{A5C590A0-9EBE-4D86-A702-1F2E672103B6}" name="Notes" dataDxfId="1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0B591C-52C4-44CD-90FF-0F79083D810A}" name="Table5" displayName="Table5" ref="A5:C10" totalsRowShown="0">
  <autoFilter ref="A5:C10" xr:uid="{F40B591C-52C4-44CD-90FF-0F79083D810A}"/>
  <tableColumns count="3">
    <tableColumn id="1" xr3:uid="{D97D280E-68E7-4A84-B4D9-5B883260B871}" name="Food"/>
    <tableColumn id="2" xr3:uid="{B464D9B6-5262-401E-9F1B-1C32DD67F395}" name="Portion"/>
    <tableColumn id="3" xr3:uid="{4EE04948-E831-43B1-879D-0786C12DCDEE}" name="Protein" dataDxfId="3"/>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37D5F-CEA4-440B-B38A-616BC2C14F1F}">
  <dimension ref="A1:O1462"/>
  <sheetViews>
    <sheetView showGridLines="0" tabSelected="1" zoomScaleNormal="100" workbookViewId="0">
      <selection activeCell="Q12" sqref="Q12"/>
    </sheetView>
  </sheetViews>
  <sheetFormatPr defaultColWidth="8.6640625" defaultRowHeight="14.4" x14ac:dyDescent="0.3"/>
  <cols>
    <col min="1" max="7" width="12" style="49" customWidth="1"/>
    <col min="8" max="8" width="3" style="49" customWidth="1"/>
    <col min="9" max="9" width="6" style="49" customWidth="1"/>
    <col min="10" max="10" width="13" style="49" customWidth="1"/>
    <col min="11" max="11" width="7" style="49" customWidth="1"/>
    <col min="12" max="12" width="10" style="49" customWidth="1"/>
    <col min="13" max="13" width="8.6640625" style="49"/>
    <col min="14" max="15" width="13" style="49" hidden="1" customWidth="1"/>
    <col min="16" max="16384" width="8.6640625" style="49"/>
  </cols>
  <sheetData>
    <row r="1" spans="1:15" ht="30" customHeight="1" x14ac:dyDescent="0.3">
      <c r="A1" s="65" t="s">
        <v>111</v>
      </c>
      <c r="B1" s="65"/>
      <c r="C1" s="65"/>
      <c r="D1" s="65"/>
      <c r="E1" s="65"/>
      <c r="F1" s="65"/>
      <c r="G1" s="65"/>
      <c r="N1" s="49" t="s">
        <v>114</v>
      </c>
      <c r="O1" s="49">
        <v>2026</v>
      </c>
    </row>
    <row r="2" spans="1:15" ht="15" customHeight="1" x14ac:dyDescent="0.3">
      <c r="N2" s="49" t="s">
        <v>118</v>
      </c>
      <c r="O2" s="49">
        <v>2027</v>
      </c>
    </row>
    <row r="3" spans="1:15" ht="15" customHeight="1" x14ac:dyDescent="0.3">
      <c r="A3" s="52" t="s">
        <v>119</v>
      </c>
      <c r="B3" s="53">
        <v>2026</v>
      </c>
      <c r="D3" s="52" t="s">
        <v>120</v>
      </c>
      <c r="E3" s="53" t="s">
        <v>134</v>
      </c>
      <c r="F3" s="66"/>
      <c r="G3" s="66"/>
      <c r="N3" s="49" t="s">
        <v>122</v>
      </c>
      <c r="O3" s="49">
        <v>2028</v>
      </c>
    </row>
    <row r="4" spans="1:15" ht="25.5" customHeight="1" x14ac:dyDescent="0.3">
      <c r="A4" s="67" t="str">
        <f>TEXT(Control!$A$35,"mmmm yyyy")</f>
        <v>August 2026</v>
      </c>
      <c r="B4" s="67"/>
      <c r="C4" s="67"/>
      <c r="D4" s="67"/>
      <c r="E4" s="67"/>
      <c r="F4" s="67"/>
      <c r="G4" s="67"/>
      <c r="N4" s="49" t="s">
        <v>123</v>
      </c>
      <c r="O4" s="49">
        <v>2029</v>
      </c>
    </row>
    <row r="5" spans="1:15" ht="15" customHeight="1" x14ac:dyDescent="0.3">
      <c r="N5" s="49" t="s">
        <v>124</v>
      </c>
    </row>
    <row r="6" spans="1:15" ht="17.25" customHeight="1" x14ac:dyDescent="0.3">
      <c r="A6" s="57" t="s">
        <v>144</v>
      </c>
      <c r="B6" s="58">
        <f>COUNTIF(Control!D33:D1494,"Gym")</f>
        <v>20</v>
      </c>
      <c r="C6" s="57"/>
      <c r="D6" s="57" t="s">
        <v>125</v>
      </c>
      <c r="E6" s="58">
        <f>COUNTIFS(Control!$L$3:$L$1464,"&gt;="&amp;Control!$A$35,Control!$L$3:$L$1464,"&lt;"&amp;EDATE(Control!$A$35,1),Control!$N$3:$N$1464,"Gym")</f>
        <v>0</v>
      </c>
      <c r="N6" s="49" t="s">
        <v>121</v>
      </c>
    </row>
    <row r="7" spans="1:15" ht="15" customHeight="1" x14ac:dyDescent="0.3">
      <c r="K7" s="49" t="s">
        <v>145</v>
      </c>
      <c r="N7" s="49" t="s">
        <v>126</v>
      </c>
    </row>
    <row r="8" spans="1:15" ht="19.5" customHeight="1" x14ac:dyDescent="0.3">
      <c r="A8" s="59" t="s">
        <v>127</v>
      </c>
      <c r="B8" s="59" t="s">
        <v>128</v>
      </c>
      <c r="C8" s="59" t="s">
        <v>129</v>
      </c>
      <c r="D8" s="59" t="s">
        <v>130</v>
      </c>
      <c r="E8" s="59" t="s">
        <v>131</v>
      </c>
      <c r="F8" s="59" t="s">
        <v>132</v>
      </c>
      <c r="G8" s="64" t="s">
        <v>133</v>
      </c>
      <c r="N8" s="49" t="s">
        <v>134</v>
      </c>
    </row>
    <row r="9" spans="1:15" ht="33.75" customHeight="1" x14ac:dyDescent="0.3">
      <c r="A9" s="60" t="str">
        <f>IF(MONTH(Control!$A$35-Control!$A$36+0)=Control!$A$34,Control!$A$35-Control!$A$36+0,"")</f>
        <v/>
      </c>
      <c r="B9" s="60" t="str">
        <f>IF(MONTH(Control!$A$35-Control!$A$36+1)=Control!$A$34,Control!$A$35-Control!$A$36+1,"")</f>
        <v/>
      </c>
      <c r="C9" s="60" t="str">
        <f>IF(MONTH(Control!$A$35-Control!$A$36+2)=Control!$A$34,Control!$A$35-Control!$A$36+2,"")</f>
        <v/>
      </c>
      <c r="D9" s="60" t="str">
        <f>IF(MONTH(Control!$A$35-Control!$A$36+3)=Control!$A$34,Control!$A$35-Control!$A$36+3,"")</f>
        <v/>
      </c>
      <c r="E9" s="60" t="str">
        <f>IF(MONTH(Control!$A$35-Control!$A$36+4)=Control!$A$34,Control!$A$35-Control!$A$36+4,"")</f>
        <v/>
      </c>
      <c r="F9" s="60" t="str">
        <f>IF(MONTH(Control!$A$35-Control!$A$36+5)=Control!$A$34,Control!$A$35-Control!$A$36+5,"")</f>
        <v/>
      </c>
      <c r="G9" s="60">
        <f>IF(MONTH(Control!$A$35-Control!$A$36+6)=Control!$A$34,Control!$A$35-Control!$A$36+6,"")</f>
        <v>46235</v>
      </c>
      <c r="N9" s="49" t="s">
        <v>135</v>
      </c>
    </row>
    <row r="10" spans="1:15" ht="33.75" customHeight="1" x14ac:dyDescent="0.3">
      <c r="A10" s="60">
        <f>IF(MONTH(Control!$A$35-Control!$A$36+7)=Control!$A$34,Control!$A$35-Control!$A$36+7,"")</f>
        <v>46236</v>
      </c>
      <c r="B10" s="60">
        <f>IF(MONTH(Control!$A$35-Control!$A$36+8)=Control!$A$34,Control!$A$35-Control!$A$36+8,"")</f>
        <v>46237</v>
      </c>
      <c r="C10" s="60">
        <f>IF(MONTH(Control!$A$35-Control!$A$36+9)=Control!$A$34,Control!$A$35-Control!$A$36+9,"")</f>
        <v>46238</v>
      </c>
      <c r="D10" s="60">
        <f>IF(MONTH(Control!$A$35-Control!$A$36+10)=Control!$A$34,Control!$A$35-Control!$A$36+10,"")</f>
        <v>46239</v>
      </c>
      <c r="E10" s="60">
        <f>IF(MONTH(Control!$A$35-Control!$A$36+11)=Control!$A$34,Control!$A$35-Control!$A$36+11,"")</f>
        <v>46240</v>
      </c>
      <c r="F10" s="60">
        <f>IF(MONTH(Control!$A$35-Control!$A$36+12)=Control!$A$34,Control!$A$35-Control!$A$36+12,"")</f>
        <v>46241</v>
      </c>
      <c r="G10" s="60">
        <f>IF(MONTH(Control!$A$35-Control!$A$36+13)=Control!$A$34,Control!$A$35-Control!$A$36+13,"")</f>
        <v>46242</v>
      </c>
      <c r="N10" s="49" t="s">
        <v>136</v>
      </c>
    </row>
    <row r="11" spans="1:15" ht="33.75" customHeight="1" x14ac:dyDescent="0.3">
      <c r="A11" s="60">
        <f>IF(MONTH(Control!$A$35-Control!$A$36+14)=Control!$A$34,Control!$A$35-Control!$A$36+14,"")</f>
        <v>46243</v>
      </c>
      <c r="B11" s="60">
        <f>IF(MONTH(Control!$A$35-Control!$A$36+15)=Control!$A$34,Control!$A$35-Control!$A$36+15,"")</f>
        <v>46244</v>
      </c>
      <c r="C11" s="60">
        <f>IF(MONTH(Control!$A$35-Control!$A$36+16)=Control!$A$34,Control!$A$35-Control!$A$36+16,"")</f>
        <v>46245</v>
      </c>
      <c r="D11" s="60">
        <f>IF(MONTH(Control!$A$35-Control!$A$36+17)=Control!$A$34,Control!$A$35-Control!$A$36+17,"")</f>
        <v>46246</v>
      </c>
      <c r="E11" s="60">
        <f>IF(MONTH(Control!$A$35-Control!$A$36+18)=Control!$A$34,Control!$A$35-Control!$A$36+18,"")</f>
        <v>46247</v>
      </c>
      <c r="F11" s="60">
        <f>IF(MONTH(Control!$A$35-Control!$A$36+19)=Control!$A$34,Control!$A$35-Control!$A$36+19,"")</f>
        <v>46248</v>
      </c>
      <c r="G11" s="60">
        <f>IF(MONTH(Control!$A$35-Control!$A$36+20)=Control!$A$34,Control!$A$35-Control!$A$36+20,"")</f>
        <v>46249</v>
      </c>
      <c r="N11" s="49" t="s">
        <v>137</v>
      </c>
    </row>
    <row r="12" spans="1:15" ht="33.75" customHeight="1" x14ac:dyDescent="0.3">
      <c r="A12" s="60">
        <f>IF(MONTH(Control!$A$35-Control!$A$36+21)=Control!$A$34,Control!$A$35-Control!$A$36+21,"")</f>
        <v>46250</v>
      </c>
      <c r="B12" s="60">
        <f>IF(MONTH(Control!$A$35-Control!$A$36+22)=Control!$A$34,Control!$A$35-Control!$A$36+22,"")</f>
        <v>46251</v>
      </c>
      <c r="C12" s="60">
        <f>IF(MONTH(Control!$A$35-Control!$A$36+23)=Control!$A$34,Control!$A$35-Control!$A$36+23,"")</f>
        <v>46252</v>
      </c>
      <c r="D12" s="60">
        <f>IF(MONTH(Control!$A$35-Control!$A$36+24)=Control!$A$34,Control!$A$35-Control!$A$36+24,"")</f>
        <v>46253</v>
      </c>
      <c r="E12" s="60">
        <f>IF(MONTH(Control!$A$35-Control!$A$36+25)=Control!$A$34,Control!$A$35-Control!$A$36+25,"")</f>
        <v>46254</v>
      </c>
      <c r="F12" s="60">
        <f>IF(MONTH(Control!$A$35-Control!$A$36+26)=Control!$A$34,Control!$A$35-Control!$A$36+26,"")</f>
        <v>46255</v>
      </c>
      <c r="G12" s="60">
        <f>IF(MONTH(Control!$A$35-Control!$A$36+27)=Control!$A$34,Control!$A$35-Control!$A$36+27,"")</f>
        <v>46256</v>
      </c>
      <c r="N12" s="49" t="s">
        <v>138</v>
      </c>
    </row>
    <row r="13" spans="1:15" ht="33.75" customHeight="1" x14ac:dyDescent="0.3">
      <c r="A13" s="60">
        <f>IF(MONTH(Control!$A$35-Control!$A$36+28)=Control!$A$34,Control!$A$35-Control!$A$36+28,"")</f>
        <v>46257</v>
      </c>
      <c r="B13" s="60">
        <f>IF(MONTH(Control!$A$35-Control!$A$36+29)=Control!$A$34,Control!$A$35-Control!$A$36+29,"")</f>
        <v>46258</v>
      </c>
      <c r="C13" s="60">
        <f>IF(MONTH(Control!$A$35-Control!$A$36+30)=Control!$A$34,Control!$A$35-Control!$A$36+30,"")</f>
        <v>46259</v>
      </c>
      <c r="D13" s="60">
        <f>IF(MONTH(Control!$A$35-Control!$A$36+31)=Control!$A$34,Control!$A$35-Control!$A$36+31,"")</f>
        <v>46260</v>
      </c>
      <c r="E13" s="60">
        <f>IF(MONTH(Control!$A$35-Control!$A$36+32)=Control!$A$34,Control!$A$35-Control!$A$36+32,"")</f>
        <v>46261</v>
      </c>
      <c r="F13" s="60">
        <f>IF(MONTH(Control!$A$35-Control!$A$36+33)=Control!$A$34,Control!$A$35-Control!$A$36+33,"")</f>
        <v>46262</v>
      </c>
      <c r="G13" s="60">
        <f>IF(MONTH(Control!$A$35-Control!$A$36+34)=Control!$A$34,Control!$A$35-Control!$A$36+34,"")</f>
        <v>46263</v>
      </c>
    </row>
    <row r="14" spans="1:15" ht="33.75" customHeight="1" x14ac:dyDescent="0.3">
      <c r="A14" s="60">
        <f>IF(MONTH(Control!$A$35-Control!$A$36+35)=Control!$A$34,Control!$A$35-Control!$A$36+35,"")</f>
        <v>46264</v>
      </c>
      <c r="B14" s="60">
        <f>IF(MONTH(Control!$A$35-Control!$A$36+36)=Control!$A$34,Control!$A$35-Control!$A$36+36,"")</f>
        <v>46265</v>
      </c>
      <c r="C14" s="60" t="str">
        <f>IF(MONTH(Control!$A$35-Control!$A$36+37)=Control!$A$34,Control!$A$35-Control!$A$36+37,"")</f>
        <v/>
      </c>
      <c r="D14" s="60" t="str">
        <f>IF(MONTH(Control!$A$35-Control!$A$36+38)=Control!$A$34,Control!$A$35-Control!$A$36+38,"")</f>
        <v/>
      </c>
      <c r="E14" s="60" t="str">
        <f>IF(MONTH(Control!$A$35-Control!$A$36+39)=Control!$A$34,Control!$A$35-Control!$A$36+39,"")</f>
        <v/>
      </c>
      <c r="F14" s="60" t="str">
        <f>IF(MONTH(Control!$A$35-Control!$A$36+40)=Control!$A$34,Control!$A$35-Control!$A$36+40,"")</f>
        <v/>
      </c>
      <c r="G14" s="60" t="str">
        <f>IF(MONTH(Control!$A$35-Control!$A$36+41)=Control!$A$34,Control!$A$35-Control!$A$36+41,"")</f>
        <v/>
      </c>
    </row>
    <row r="15" spans="1:15" ht="15" customHeight="1" x14ac:dyDescent="0.3"/>
    <row r="16" spans="1:15" ht="15" customHeight="1" x14ac:dyDescent="0.3">
      <c r="A16" s="52" t="s">
        <v>139</v>
      </c>
    </row>
    <row r="17" spans="1:7" ht="15" customHeight="1" thickBot="1" x14ac:dyDescent="0.35">
      <c r="A17" s="61" t="s">
        <v>140</v>
      </c>
      <c r="B17" s="62" t="s">
        <v>141</v>
      </c>
    </row>
    <row r="18" spans="1:7" ht="15" customHeight="1" thickTop="1" thickBot="1" x14ac:dyDescent="0.35">
      <c r="A18" s="63" t="s">
        <v>140</v>
      </c>
      <c r="B18" s="62" t="s">
        <v>142</v>
      </c>
    </row>
    <row r="19" spans="1:7" ht="15" customHeight="1" thickTop="1" x14ac:dyDescent="0.3"/>
    <row r="20" spans="1:7" ht="15" customHeight="1" x14ac:dyDescent="0.3">
      <c r="A20" s="68"/>
      <c r="B20" s="68"/>
      <c r="C20" s="68"/>
      <c r="D20" s="68"/>
      <c r="E20" s="68"/>
      <c r="F20" s="68"/>
      <c r="G20" s="68"/>
    </row>
    <row r="21" spans="1:7" ht="15" customHeight="1" x14ac:dyDescent="0.3">
      <c r="A21" s="68"/>
      <c r="B21" s="68"/>
      <c r="C21" s="68"/>
      <c r="D21" s="68"/>
      <c r="E21" s="68"/>
      <c r="F21" s="68"/>
      <c r="G21" s="68"/>
    </row>
    <row r="22" spans="1:7" ht="15" customHeight="1" x14ac:dyDescent="0.3">
      <c r="A22" s="68"/>
      <c r="B22" s="68"/>
      <c r="C22" s="68"/>
      <c r="D22" s="68"/>
      <c r="E22" s="68"/>
      <c r="F22" s="68"/>
      <c r="G22" s="68"/>
    </row>
    <row r="23" spans="1:7" ht="15" customHeight="1" x14ac:dyDescent="0.3"/>
    <row r="24" spans="1:7" ht="15" customHeight="1" x14ac:dyDescent="0.3"/>
    <row r="25" spans="1:7" ht="15" customHeight="1" x14ac:dyDescent="0.3"/>
    <row r="26" spans="1:7" ht="15" customHeight="1" x14ac:dyDescent="0.3"/>
    <row r="27" spans="1:7" ht="15" customHeight="1" x14ac:dyDescent="0.3"/>
    <row r="28" spans="1:7" ht="15" customHeight="1" x14ac:dyDescent="0.3"/>
    <row r="29" spans="1:7" ht="15" customHeight="1" x14ac:dyDescent="0.3"/>
    <row r="30" spans="1:7" ht="15" customHeight="1" x14ac:dyDescent="0.3"/>
    <row r="31" spans="1:7" ht="15" customHeight="1" x14ac:dyDescent="0.3"/>
    <row r="32" spans="1:7"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row r="64"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row r="79" ht="15" customHeight="1" x14ac:dyDescent="0.3"/>
    <row r="80" ht="15" customHeight="1" x14ac:dyDescent="0.3"/>
    <row r="81" ht="15" customHeight="1" x14ac:dyDescent="0.3"/>
    <row r="82" ht="15" customHeight="1" x14ac:dyDescent="0.3"/>
    <row r="83" ht="15" customHeight="1" x14ac:dyDescent="0.3"/>
    <row r="84" ht="15" customHeight="1" x14ac:dyDescent="0.3"/>
    <row r="85" ht="15" customHeight="1" x14ac:dyDescent="0.3"/>
    <row r="86" ht="15" customHeight="1" x14ac:dyDescent="0.3"/>
    <row r="87" ht="15" customHeight="1" x14ac:dyDescent="0.3"/>
    <row r="88" ht="15" customHeight="1" x14ac:dyDescent="0.3"/>
    <row r="89" ht="15" customHeight="1" x14ac:dyDescent="0.3"/>
    <row r="90" ht="15" customHeight="1" x14ac:dyDescent="0.3"/>
    <row r="91" ht="15" customHeight="1" x14ac:dyDescent="0.3"/>
    <row r="92" ht="15" customHeight="1" x14ac:dyDescent="0.3"/>
    <row r="93" ht="15" customHeight="1" x14ac:dyDescent="0.3"/>
    <row r="94" ht="15" customHeight="1" x14ac:dyDescent="0.3"/>
    <row r="95" ht="15" customHeight="1" x14ac:dyDescent="0.3"/>
    <row r="96" ht="15" customHeight="1" x14ac:dyDescent="0.3"/>
    <row r="97" ht="15" customHeight="1" x14ac:dyDescent="0.3"/>
    <row r="98" ht="15" customHeight="1" x14ac:dyDescent="0.3"/>
    <row r="99" ht="15" customHeight="1" x14ac:dyDescent="0.3"/>
    <row r="100" ht="15" customHeight="1" x14ac:dyDescent="0.3"/>
    <row r="101" ht="15" customHeight="1" x14ac:dyDescent="0.3"/>
    <row r="102" ht="15" customHeight="1" x14ac:dyDescent="0.3"/>
    <row r="103" ht="15" customHeight="1" x14ac:dyDescent="0.3"/>
    <row r="104" ht="15" customHeight="1" x14ac:dyDescent="0.3"/>
    <row r="105" ht="15" customHeight="1" x14ac:dyDescent="0.3"/>
    <row r="106" ht="15" customHeight="1" x14ac:dyDescent="0.3"/>
    <row r="107" ht="15" customHeight="1" x14ac:dyDescent="0.3"/>
    <row r="108" ht="15" customHeight="1" x14ac:dyDescent="0.3"/>
    <row r="109" ht="15" customHeight="1" x14ac:dyDescent="0.3"/>
    <row r="110" ht="15" customHeight="1" x14ac:dyDescent="0.3"/>
    <row r="111" ht="15" customHeight="1" x14ac:dyDescent="0.3"/>
    <row r="112" ht="15" customHeight="1" x14ac:dyDescent="0.3"/>
    <row r="113" ht="15" customHeight="1" x14ac:dyDescent="0.3"/>
    <row r="114" ht="15" customHeight="1" x14ac:dyDescent="0.3"/>
    <row r="115" ht="15" customHeight="1" x14ac:dyDescent="0.3"/>
    <row r="116" ht="15" customHeight="1" x14ac:dyDescent="0.3"/>
    <row r="117" ht="15" customHeight="1" x14ac:dyDescent="0.3"/>
    <row r="118" ht="15" customHeight="1" x14ac:dyDescent="0.3"/>
    <row r="119" ht="15" customHeight="1" x14ac:dyDescent="0.3"/>
    <row r="120" ht="15" customHeight="1" x14ac:dyDescent="0.3"/>
    <row r="121" ht="15" customHeight="1" x14ac:dyDescent="0.3"/>
    <row r="122" ht="15" customHeight="1" x14ac:dyDescent="0.3"/>
    <row r="123" ht="15" customHeight="1" x14ac:dyDescent="0.3"/>
    <row r="124" ht="15" customHeight="1" x14ac:dyDescent="0.3"/>
    <row r="125" ht="15" customHeight="1" x14ac:dyDescent="0.3"/>
    <row r="126" ht="15" customHeight="1" x14ac:dyDescent="0.3"/>
    <row r="127" ht="15" customHeight="1" x14ac:dyDescent="0.3"/>
    <row r="128" ht="15" customHeight="1" x14ac:dyDescent="0.3"/>
    <row r="129" ht="15" customHeight="1" x14ac:dyDescent="0.3"/>
    <row r="130" ht="15" customHeight="1" x14ac:dyDescent="0.3"/>
    <row r="131" ht="15" customHeight="1" x14ac:dyDescent="0.3"/>
    <row r="132" ht="15" customHeight="1" x14ac:dyDescent="0.3"/>
    <row r="133" ht="15" customHeight="1" x14ac:dyDescent="0.3"/>
    <row r="134" ht="15" customHeight="1" x14ac:dyDescent="0.3"/>
    <row r="135" ht="15" customHeight="1" x14ac:dyDescent="0.3"/>
    <row r="136" ht="15" customHeight="1" x14ac:dyDescent="0.3"/>
    <row r="137" ht="15" customHeight="1" x14ac:dyDescent="0.3"/>
    <row r="138" ht="15" customHeight="1" x14ac:dyDescent="0.3"/>
    <row r="139" ht="15" customHeight="1" x14ac:dyDescent="0.3"/>
    <row r="140" ht="15" customHeight="1" x14ac:dyDescent="0.3"/>
    <row r="141" ht="15" customHeight="1" x14ac:dyDescent="0.3"/>
    <row r="142" ht="15" customHeight="1" x14ac:dyDescent="0.3"/>
    <row r="143" ht="15" customHeight="1" x14ac:dyDescent="0.3"/>
    <row r="144"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row r="161" ht="15" customHeight="1" x14ac:dyDescent="0.3"/>
    <row r="162" ht="15" customHeight="1" x14ac:dyDescent="0.3"/>
    <row r="163" ht="15" customHeight="1" x14ac:dyDescent="0.3"/>
    <row r="164" ht="15" customHeight="1" x14ac:dyDescent="0.3"/>
    <row r="165" ht="15" customHeight="1" x14ac:dyDescent="0.3"/>
    <row r="166" ht="15" customHeight="1" x14ac:dyDescent="0.3"/>
    <row r="167" ht="15" customHeight="1" x14ac:dyDescent="0.3"/>
    <row r="168" ht="15" customHeight="1" x14ac:dyDescent="0.3"/>
    <row r="169" ht="15" customHeight="1" x14ac:dyDescent="0.3"/>
    <row r="170" ht="15" customHeight="1" x14ac:dyDescent="0.3"/>
    <row r="171" ht="15" customHeight="1" x14ac:dyDescent="0.3"/>
    <row r="172" ht="15" customHeight="1" x14ac:dyDescent="0.3"/>
    <row r="173" ht="15" customHeight="1" x14ac:dyDescent="0.3"/>
    <row r="174" ht="15" customHeight="1" x14ac:dyDescent="0.3"/>
    <row r="175" ht="15" customHeight="1" x14ac:dyDescent="0.3"/>
    <row r="176" ht="15" customHeight="1" x14ac:dyDescent="0.3"/>
    <row r="177" ht="15" customHeight="1" x14ac:dyDescent="0.3"/>
    <row r="178" ht="15" customHeight="1" x14ac:dyDescent="0.3"/>
    <row r="179" ht="15" customHeight="1" x14ac:dyDescent="0.3"/>
    <row r="180" ht="15" customHeight="1" x14ac:dyDescent="0.3"/>
    <row r="181" ht="15" customHeight="1" x14ac:dyDescent="0.3"/>
    <row r="182" ht="15" customHeight="1" x14ac:dyDescent="0.3"/>
    <row r="183" ht="15" customHeight="1" x14ac:dyDescent="0.3"/>
    <row r="184" ht="15" customHeight="1" x14ac:dyDescent="0.3"/>
    <row r="185" ht="15" customHeight="1" x14ac:dyDescent="0.3"/>
    <row r="186" ht="15" customHeight="1" x14ac:dyDescent="0.3"/>
    <row r="187" ht="15" customHeight="1" x14ac:dyDescent="0.3"/>
    <row r="188" ht="15" customHeight="1" x14ac:dyDescent="0.3"/>
    <row r="189" ht="15" customHeight="1" x14ac:dyDescent="0.3"/>
    <row r="190" ht="15" customHeight="1" x14ac:dyDescent="0.3"/>
    <row r="191" ht="15" customHeight="1" x14ac:dyDescent="0.3"/>
    <row r="192" ht="15" customHeight="1" x14ac:dyDescent="0.3"/>
    <row r="193" ht="15" customHeight="1" x14ac:dyDescent="0.3"/>
    <row r="194" ht="15" customHeight="1" x14ac:dyDescent="0.3"/>
    <row r="195" ht="15" customHeight="1" x14ac:dyDescent="0.3"/>
    <row r="196" ht="15" customHeight="1" x14ac:dyDescent="0.3"/>
    <row r="197" ht="15" customHeight="1" x14ac:dyDescent="0.3"/>
    <row r="198" ht="15" customHeight="1" x14ac:dyDescent="0.3"/>
    <row r="199" ht="15" customHeight="1" x14ac:dyDescent="0.3"/>
    <row r="200" ht="15" customHeight="1" x14ac:dyDescent="0.3"/>
    <row r="201" ht="15" customHeight="1" x14ac:dyDescent="0.3"/>
    <row r="202" ht="15" customHeight="1" x14ac:dyDescent="0.3"/>
    <row r="203" ht="15" customHeight="1" x14ac:dyDescent="0.3"/>
    <row r="204" ht="15" customHeight="1" x14ac:dyDescent="0.3"/>
    <row r="205" ht="15" customHeight="1" x14ac:dyDescent="0.3"/>
    <row r="206" ht="15" customHeight="1" x14ac:dyDescent="0.3"/>
    <row r="207" ht="15" customHeight="1" x14ac:dyDescent="0.3"/>
    <row r="208" ht="15" customHeight="1" x14ac:dyDescent="0.3"/>
    <row r="209" ht="15" customHeight="1" x14ac:dyDescent="0.3"/>
    <row r="210" ht="15" customHeight="1" x14ac:dyDescent="0.3"/>
    <row r="211" ht="15" customHeight="1" x14ac:dyDescent="0.3"/>
    <row r="212" ht="15" customHeight="1" x14ac:dyDescent="0.3"/>
    <row r="213" ht="15" customHeight="1" x14ac:dyDescent="0.3"/>
    <row r="214" ht="15" customHeight="1" x14ac:dyDescent="0.3"/>
    <row r="215" ht="15" customHeight="1" x14ac:dyDescent="0.3"/>
    <row r="216" ht="15" customHeight="1" x14ac:dyDescent="0.3"/>
    <row r="217" ht="15" customHeight="1" x14ac:dyDescent="0.3"/>
    <row r="218" ht="15" customHeight="1" x14ac:dyDescent="0.3"/>
    <row r="219" ht="15" customHeight="1" x14ac:dyDescent="0.3"/>
    <row r="220" ht="15" customHeight="1" x14ac:dyDescent="0.3"/>
    <row r="221" ht="15" customHeight="1" x14ac:dyDescent="0.3"/>
    <row r="222" ht="15" customHeight="1" x14ac:dyDescent="0.3"/>
    <row r="223" ht="15" customHeight="1" x14ac:dyDescent="0.3"/>
    <row r="224" ht="15" customHeight="1" x14ac:dyDescent="0.3"/>
    <row r="225" ht="15" customHeight="1" x14ac:dyDescent="0.3"/>
    <row r="226" ht="15" customHeight="1" x14ac:dyDescent="0.3"/>
    <row r="227" ht="15" customHeight="1" x14ac:dyDescent="0.3"/>
    <row r="228" ht="15" customHeight="1" x14ac:dyDescent="0.3"/>
    <row r="229" ht="15" customHeight="1" x14ac:dyDescent="0.3"/>
    <row r="230" ht="15" customHeight="1" x14ac:dyDescent="0.3"/>
    <row r="231" ht="15" customHeight="1" x14ac:dyDescent="0.3"/>
    <row r="232" ht="15" customHeight="1" x14ac:dyDescent="0.3"/>
    <row r="233" ht="15" customHeight="1" x14ac:dyDescent="0.3"/>
    <row r="234" ht="15" customHeight="1" x14ac:dyDescent="0.3"/>
    <row r="235" ht="15" customHeight="1" x14ac:dyDescent="0.3"/>
    <row r="236" ht="15" customHeight="1" x14ac:dyDescent="0.3"/>
    <row r="237" ht="15" customHeight="1" x14ac:dyDescent="0.3"/>
    <row r="238" ht="15" customHeight="1" x14ac:dyDescent="0.3"/>
    <row r="239" ht="15" customHeight="1" x14ac:dyDescent="0.3"/>
    <row r="240" ht="15" customHeight="1" x14ac:dyDescent="0.3"/>
    <row r="241" ht="15" customHeight="1" x14ac:dyDescent="0.3"/>
    <row r="242" ht="15" customHeight="1" x14ac:dyDescent="0.3"/>
    <row r="243" ht="15" customHeight="1" x14ac:dyDescent="0.3"/>
    <row r="244" ht="15" customHeight="1" x14ac:dyDescent="0.3"/>
    <row r="245" ht="15" customHeight="1" x14ac:dyDescent="0.3"/>
    <row r="246" ht="15" customHeight="1" x14ac:dyDescent="0.3"/>
    <row r="247" ht="15" customHeight="1" x14ac:dyDescent="0.3"/>
    <row r="248" ht="15" customHeight="1" x14ac:dyDescent="0.3"/>
    <row r="249" ht="15" customHeight="1" x14ac:dyDescent="0.3"/>
    <row r="250" ht="15" customHeight="1" x14ac:dyDescent="0.3"/>
    <row r="251" ht="15" customHeight="1" x14ac:dyDescent="0.3"/>
    <row r="252" ht="15" customHeight="1" x14ac:dyDescent="0.3"/>
    <row r="253" ht="15" customHeight="1" x14ac:dyDescent="0.3"/>
    <row r="254" ht="15" customHeight="1" x14ac:dyDescent="0.3"/>
    <row r="255" ht="15" customHeight="1" x14ac:dyDescent="0.3"/>
    <row r="256" ht="15" customHeight="1" x14ac:dyDescent="0.3"/>
    <row r="257" ht="15" customHeight="1" x14ac:dyDescent="0.3"/>
    <row r="258" ht="15" customHeight="1" x14ac:dyDescent="0.3"/>
    <row r="259" ht="15" customHeight="1" x14ac:dyDescent="0.3"/>
    <row r="260" ht="15" customHeight="1" x14ac:dyDescent="0.3"/>
    <row r="261" ht="15" customHeight="1" x14ac:dyDescent="0.3"/>
    <row r="262" ht="15" customHeight="1" x14ac:dyDescent="0.3"/>
    <row r="263" ht="15" customHeight="1" x14ac:dyDescent="0.3"/>
    <row r="264" ht="15" customHeight="1" x14ac:dyDescent="0.3"/>
    <row r="265" ht="15" customHeight="1" x14ac:dyDescent="0.3"/>
    <row r="266" ht="15" customHeight="1" x14ac:dyDescent="0.3"/>
    <row r="267" ht="15" customHeight="1" x14ac:dyDescent="0.3"/>
    <row r="268" ht="15" customHeight="1" x14ac:dyDescent="0.3"/>
    <row r="269" ht="15" customHeight="1" x14ac:dyDescent="0.3"/>
    <row r="270" ht="15" customHeight="1" x14ac:dyDescent="0.3"/>
    <row r="271" ht="15" customHeight="1" x14ac:dyDescent="0.3"/>
    <row r="272" ht="15" customHeight="1" x14ac:dyDescent="0.3"/>
    <row r="273" ht="15" customHeight="1" x14ac:dyDescent="0.3"/>
    <row r="274" ht="15" customHeight="1" x14ac:dyDescent="0.3"/>
    <row r="275" ht="15" customHeight="1" x14ac:dyDescent="0.3"/>
    <row r="276" ht="15" customHeight="1" x14ac:dyDescent="0.3"/>
    <row r="277" ht="15" customHeight="1" x14ac:dyDescent="0.3"/>
    <row r="278" ht="15" customHeight="1" x14ac:dyDescent="0.3"/>
    <row r="279" ht="15" customHeight="1" x14ac:dyDescent="0.3"/>
    <row r="280" ht="15" customHeight="1" x14ac:dyDescent="0.3"/>
    <row r="281" ht="15" customHeight="1" x14ac:dyDescent="0.3"/>
    <row r="282" ht="15" customHeight="1" x14ac:dyDescent="0.3"/>
    <row r="283" ht="15" customHeight="1" x14ac:dyDescent="0.3"/>
    <row r="284" ht="15" customHeight="1" x14ac:dyDescent="0.3"/>
    <row r="285" ht="15" customHeight="1" x14ac:dyDescent="0.3"/>
    <row r="286" ht="15" customHeight="1" x14ac:dyDescent="0.3"/>
    <row r="287" ht="15" customHeight="1" x14ac:dyDescent="0.3"/>
    <row r="288" ht="15" customHeight="1" x14ac:dyDescent="0.3"/>
    <row r="289" ht="15" customHeight="1" x14ac:dyDescent="0.3"/>
    <row r="290" ht="15" customHeight="1" x14ac:dyDescent="0.3"/>
    <row r="291" ht="15" customHeight="1" x14ac:dyDescent="0.3"/>
    <row r="292" ht="15" customHeight="1" x14ac:dyDescent="0.3"/>
    <row r="293" ht="15" customHeight="1" x14ac:dyDescent="0.3"/>
    <row r="294" ht="15" customHeight="1" x14ac:dyDescent="0.3"/>
    <row r="295" ht="15" customHeight="1" x14ac:dyDescent="0.3"/>
    <row r="296" ht="15" customHeight="1" x14ac:dyDescent="0.3"/>
    <row r="297" ht="15" customHeight="1" x14ac:dyDescent="0.3"/>
    <row r="298" ht="15" customHeight="1" x14ac:dyDescent="0.3"/>
    <row r="299" ht="15" customHeight="1" x14ac:dyDescent="0.3"/>
    <row r="300" ht="15" customHeight="1" x14ac:dyDescent="0.3"/>
    <row r="301" ht="15" customHeight="1" x14ac:dyDescent="0.3"/>
    <row r="302" ht="15" customHeight="1" x14ac:dyDescent="0.3"/>
    <row r="303" ht="15" customHeight="1" x14ac:dyDescent="0.3"/>
    <row r="304" ht="15" customHeight="1" x14ac:dyDescent="0.3"/>
    <row r="305" ht="15" customHeight="1" x14ac:dyDescent="0.3"/>
    <row r="306" ht="15" customHeight="1" x14ac:dyDescent="0.3"/>
    <row r="307" ht="15" customHeight="1" x14ac:dyDescent="0.3"/>
    <row r="308" ht="15" customHeight="1" x14ac:dyDescent="0.3"/>
    <row r="309" ht="15" customHeight="1" x14ac:dyDescent="0.3"/>
    <row r="310" ht="15" customHeight="1" x14ac:dyDescent="0.3"/>
    <row r="311" ht="15" customHeight="1" x14ac:dyDescent="0.3"/>
    <row r="312" ht="15" customHeight="1" x14ac:dyDescent="0.3"/>
    <row r="313" ht="15" customHeight="1" x14ac:dyDescent="0.3"/>
    <row r="314" ht="15" customHeight="1" x14ac:dyDescent="0.3"/>
    <row r="315" ht="15" customHeight="1" x14ac:dyDescent="0.3"/>
    <row r="316" ht="15" customHeight="1" x14ac:dyDescent="0.3"/>
    <row r="317" ht="15" customHeight="1" x14ac:dyDescent="0.3"/>
    <row r="318" ht="15" customHeight="1" x14ac:dyDescent="0.3"/>
    <row r="319" ht="15" customHeight="1" x14ac:dyDescent="0.3"/>
    <row r="320" ht="15" customHeight="1" x14ac:dyDescent="0.3"/>
    <row r="321" ht="15" customHeight="1" x14ac:dyDescent="0.3"/>
    <row r="322" ht="15" customHeight="1" x14ac:dyDescent="0.3"/>
    <row r="323" ht="15" customHeight="1" x14ac:dyDescent="0.3"/>
    <row r="324" ht="15" customHeight="1" x14ac:dyDescent="0.3"/>
    <row r="325" ht="15" customHeight="1" x14ac:dyDescent="0.3"/>
    <row r="326" ht="15" customHeight="1" x14ac:dyDescent="0.3"/>
    <row r="327" ht="15" customHeight="1" x14ac:dyDescent="0.3"/>
    <row r="328" ht="15" customHeight="1" x14ac:dyDescent="0.3"/>
    <row r="329" ht="15" customHeight="1" x14ac:dyDescent="0.3"/>
    <row r="330" ht="15" customHeight="1" x14ac:dyDescent="0.3"/>
    <row r="331" ht="15" customHeight="1" x14ac:dyDescent="0.3"/>
    <row r="332" ht="15" customHeight="1" x14ac:dyDescent="0.3"/>
    <row r="333" ht="15" customHeight="1" x14ac:dyDescent="0.3"/>
    <row r="334" ht="15" customHeight="1" x14ac:dyDescent="0.3"/>
    <row r="335" ht="15" customHeight="1" x14ac:dyDescent="0.3"/>
    <row r="336" ht="15" customHeight="1" x14ac:dyDescent="0.3"/>
    <row r="337" ht="15" customHeight="1" x14ac:dyDescent="0.3"/>
    <row r="338" ht="15" customHeight="1" x14ac:dyDescent="0.3"/>
    <row r="339" ht="15" customHeight="1" x14ac:dyDescent="0.3"/>
    <row r="340" ht="15" customHeight="1" x14ac:dyDescent="0.3"/>
    <row r="341" ht="15" customHeight="1" x14ac:dyDescent="0.3"/>
    <row r="342" ht="15" customHeight="1" x14ac:dyDescent="0.3"/>
    <row r="343" ht="15" customHeight="1" x14ac:dyDescent="0.3"/>
    <row r="344" ht="15" customHeight="1" x14ac:dyDescent="0.3"/>
    <row r="345" ht="15" customHeight="1" x14ac:dyDescent="0.3"/>
    <row r="346" ht="15" customHeight="1" x14ac:dyDescent="0.3"/>
    <row r="347" ht="15" customHeight="1" x14ac:dyDescent="0.3"/>
    <row r="348" ht="15" customHeight="1" x14ac:dyDescent="0.3"/>
    <row r="349" ht="15" customHeight="1" x14ac:dyDescent="0.3"/>
    <row r="350" ht="15" customHeight="1" x14ac:dyDescent="0.3"/>
    <row r="351" ht="15" customHeight="1" x14ac:dyDescent="0.3"/>
    <row r="352" ht="15" customHeight="1" x14ac:dyDescent="0.3"/>
    <row r="353" ht="15" customHeight="1" x14ac:dyDescent="0.3"/>
    <row r="354" ht="15" customHeight="1" x14ac:dyDescent="0.3"/>
    <row r="355" ht="15" customHeight="1" x14ac:dyDescent="0.3"/>
    <row r="356" ht="15" customHeight="1" x14ac:dyDescent="0.3"/>
    <row r="357" ht="15" customHeight="1" x14ac:dyDescent="0.3"/>
    <row r="358" ht="15" customHeight="1" x14ac:dyDescent="0.3"/>
    <row r="359" ht="15" customHeight="1" x14ac:dyDescent="0.3"/>
    <row r="360" ht="15" customHeight="1" x14ac:dyDescent="0.3"/>
    <row r="361" ht="15" customHeight="1" x14ac:dyDescent="0.3"/>
    <row r="362" ht="15" customHeight="1" x14ac:dyDescent="0.3"/>
    <row r="363" ht="15" customHeight="1" x14ac:dyDescent="0.3"/>
    <row r="364" ht="15" customHeight="1" x14ac:dyDescent="0.3"/>
    <row r="365" ht="15" customHeight="1" x14ac:dyDescent="0.3"/>
    <row r="366" ht="15" customHeight="1" x14ac:dyDescent="0.3"/>
    <row r="367" ht="15" customHeight="1" x14ac:dyDescent="0.3"/>
    <row r="368" ht="15" customHeight="1" x14ac:dyDescent="0.3"/>
    <row r="369" ht="15" customHeight="1" x14ac:dyDescent="0.3"/>
    <row r="370" ht="15" customHeight="1" x14ac:dyDescent="0.3"/>
    <row r="371" ht="15" customHeight="1" x14ac:dyDescent="0.3"/>
    <row r="372" ht="15" customHeight="1" x14ac:dyDescent="0.3"/>
    <row r="373" ht="15" customHeight="1" x14ac:dyDescent="0.3"/>
    <row r="374" ht="15" customHeight="1" x14ac:dyDescent="0.3"/>
    <row r="375" ht="15" customHeight="1" x14ac:dyDescent="0.3"/>
    <row r="376" ht="15" customHeight="1" x14ac:dyDescent="0.3"/>
    <row r="377" ht="15" customHeight="1" x14ac:dyDescent="0.3"/>
    <row r="378" ht="15" customHeight="1" x14ac:dyDescent="0.3"/>
    <row r="379" ht="15" customHeight="1" x14ac:dyDescent="0.3"/>
    <row r="380" ht="15" customHeight="1" x14ac:dyDescent="0.3"/>
    <row r="381" ht="15" customHeight="1" x14ac:dyDescent="0.3"/>
    <row r="382" ht="15" customHeight="1" x14ac:dyDescent="0.3"/>
    <row r="383" ht="15" customHeight="1" x14ac:dyDescent="0.3"/>
    <row r="384" ht="15" customHeight="1" x14ac:dyDescent="0.3"/>
    <row r="385" ht="15" customHeight="1" x14ac:dyDescent="0.3"/>
    <row r="386" ht="15" customHeight="1" x14ac:dyDescent="0.3"/>
    <row r="387" ht="15" customHeight="1" x14ac:dyDescent="0.3"/>
    <row r="388" ht="15" customHeight="1" x14ac:dyDescent="0.3"/>
    <row r="389" ht="15" customHeight="1" x14ac:dyDescent="0.3"/>
    <row r="390" ht="15" customHeight="1" x14ac:dyDescent="0.3"/>
    <row r="391" ht="15" customHeight="1" x14ac:dyDescent="0.3"/>
    <row r="392" ht="15" customHeight="1" x14ac:dyDescent="0.3"/>
    <row r="393" ht="15" customHeight="1" x14ac:dyDescent="0.3"/>
    <row r="394" ht="15" customHeight="1" x14ac:dyDescent="0.3"/>
    <row r="395" ht="15" customHeight="1" x14ac:dyDescent="0.3"/>
    <row r="396" ht="15" customHeight="1" x14ac:dyDescent="0.3"/>
    <row r="397" ht="15" customHeight="1" x14ac:dyDescent="0.3"/>
    <row r="398" ht="15" customHeight="1" x14ac:dyDescent="0.3"/>
    <row r="399" ht="15" customHeight="1" x14ac:dyDescent="0.3"/>
    <row r="400" ht="15" customHeight="1" x14ac:dyDescent="0.3"/>
    <row r="401" ht="15" customHeight="1" x14ac:dyDescent="0.3"/>
    <row r="402" ht="15" customHeight="1" x14ac:dyDescent="0.3"/>
    <row r="403" ht="15" customHeight="1" x14ac:dyDescent="0.3"/>
    <row r="404" ht="15" customHeight="1" x14ac:dyDescent="0.3"/>
    <row r="405" ht="15" customHeight="1" x14ac:dyDescent="0.3"/>
    <row r="406" ht="15" customHeight="1" x14ac:dyDescent="0.3"/>
    <row r="407" ht="15" customHeight="1" x14ac:dyDescent="0.3"/>
    <row r="408" ht="15" customHeight="1" x14ac:dyDescent="0.3"/>
    <row r="409" ht="15" customHeight="1" x14ac:dyDescent="0.3"/>
    <row r="410" ht="15" customHeight="1" x14ac:dyDescent="0.3"/>
    <row r="411" ht="15" customHeight="1" x14ac:dyDescent="0.3"/>
    <row r="412" ht="15" customHeight="1" x14ac:dyDescent="0.3"/>
    <row r="413" ht="15" customHeight="1" x14ac:dyDescent="0.3"/>
    <row r="414" ht="15" customHeight="1" x14ac:dyDescent="0.3"/>
    <row r="415" ht="15" customHeight="1" x14ac:dyDescent="0.3"/>
    <row r="416" ht="15" customHeight="1" x14ac:dyDescent="0.3"/>
    <row r="417" ht="15" customHeight="1" x14ac:dyDescent="0.3"/>
    <row r="418" ht="15" customHeight="1" x14ac:dyDescent="0.3"/>
    <row r="419" ht="15" customHeight="1" x14ac:dyDescent="0.3"/>
    <row r="420" ht="15" customHeight="1" x14ac:dyDescent="0.3"/>
    <row r="421" ht="15" customHeight="1" x14ac:dyDescent="0.3"/>
    <row r="422" ht="15" customHeight="1" x14ac:dyDescent="0.3"/>
    <row r="423" ht="15" customHeight="1" x14ac:dyDescent="0.3"/>
    <row r="424" ht="15" customHeight="1" x14ac:dyDescent="0.3"/>
    <row r="425" ht="15" customHeight="1" x14ac:dyDescent="0.3"/>
    <row r="426" ht="15" customHeight="1" x14ac:dyDescent="0.3"/>
    <row r="427" ht="15" customHeight="1" x14ac:dyDescent="0.3"/>
    <row r="428" ht="15" customHeight="1" x14ac:dyDescent="0.3"/>
    <row r="429" ht="15" customHeight="1" x14ac:dyDescent="0.3"/>
    <row r="430" ht="15" customHeight="1" x14ac:dyDescent="0.3"/>
    <row r="431" ht="15" customHeight="1" x14ac:dyDescent="0.3"/>
    <row r="432" ht="15" customHeight="1" x14ac:dyDescent="0.3"/>
    <row r="433" ht="15" customHeight="1" x14ac:dyDescent="0.3"/>
    <row r="434" ht="15" customHeight="1" x14ac:dyDescent="0.3"/>
    <row r="435" ht="15" customHeight="1" x14ac:dyDescent="0.3"/>
    <row r="436" ht="15" customHeight="1" x14ac:dyDescent="0.3"/>
    <row r="437" ht="15" customHeight="1" x14ac:dyDescent="0.3"/>
    <row r="438" ht="15" customHeight="1" x14ac:dyDescent="0.3"/>
    <row r="439" ht="15" customHeight="1" x14ac:dyDescent="0.3"/>
    <row r="440" ht="15" customHeight="1" x14ac:dyDescent="0.3"/>
    <row r="441" ht="15" customHeight="1" x14ac:dyDescent="0.3"/>
    <row r="442" ht="15" customHeight="1" x14ac:dyDescent="0.3"/>
    <row r="443" ht="15" customHeight="1" x14ac:dyDescent="0.3"/>
    <row r="444" ht="15" customHeight="1" x14ac:dyDescent="0.3"/>
    <row r="445" ht="15" customHeight="1" x14ac:dyDescent="0.3"/>
    <row r="446" ht="15" customHeight="1" x14ac:dyDescent="0.3"/>
    <row r="447" ht="15" customHeight="1" x14ac:dyDescent="0.3"/>
    <row r="448" ht="15" customHeight="1" x14ac:dyDescent="0.3"/>
    <row r="449" ht="15" customHeight="1" x14ac:dyDescent="0.3"/>
    <row r="450" ht="15" customHeight="1" x14ac:dyDescent="0.3"/>
    <row r="451" ht="15" customHeight="1" x14ac:dyDescent="0.3"/>
    <row r="452" ht="15" customHeight="1" x14ac:dyDescent="0.3"/>
    <row r="453" ht="15" customHeight="1" x14ac:dyDescent="0.3"/>
    <row r="454" ht="15" customHeight="1" x14ac:dyDescent="0.3"/>
    <row r="455" ht="15" customHeight="1" x14ac:dyDescent="0.3"/>
    <row r="456" ht="15" customHeight="1" x14ac:dyDescent="0.3"/>
    <row r="457" ht="15" customHeight="1" x14ac:dyDescent="0.3"/>
    <row r="458" ht="15" customHeight="1" x14ac:dyDescent="0.3"/>
    <row r="459" ht="15" customHeight="1" x14ac:dyDescent="0.3"/>
    <row r="460" ht="15" customHeight="1" x14ac:dyDescent="0.3"/>
    <row r="461" ht="15" customHeight="1" x14ac:dyDescent="0.3"/>
    <row r="462" ht="15" customHeight="1" x14ac:dyDescent="0.3"/>
    <row r="463" ht="15" customHeight="1" x14ac:dyDescent="0.3"/>
    <row r="464" ht="15" customHeight="1" x14ac:dyDescent="0.3"/>
    <row r="465" ht="15" customHeight="1" x14ac:dyDescent="0.3"/>
    <row r="466" ht="15" customHeight="1" x14ac:dyDescent="0.3"/>
    <row r="467" ht="15" customHeight="1" x14ac:dyDescent="0.3"/>
    <row r="468" ht="15" customHeight="1" x14ac:dyDescent="0.3"/>
    <row r="469" ht="15" customHeight="1" x14ac:dyDescent="0.3"/>
    <row r="470" ht="15" customHeight="1" x14ac:dyDescent="0.3"/>
    <row r="471" ht="15" customHeight="1" x14ac:dyDescent="0.3"/>
    <row r="472" ht="15" customHeight="1" x14ac:dyDescent="0.3"/>
    <row r="473" ht="15" customHeight="1" x14ac:dyDescent="0.3"/>
    <row r="474" ht="15" customHeight="1" x14ac:dyDescent="0.3"/>
    <row r="475" ht="15" customHeight="1" x14ac:dyDescent="0.3"/>
    <row r="476" ht="15" customHeight="1" x14ac:dyDescent="0.3"/>
    <row r="477" ht="15" customHeight="1" x14ac:dyDescent="0.3"/>
    <row r="478" ht="15" customHeight="1" x14ac:dyDescent="0.3"/>
    <row r="479" ht="15" customHeight="1" x14ac:dyDescent="0.3"/>
    <row r="480" ht="15" customHeight="1" x14ac:dyDescent="0.3"/>
    <row r="481" ht="15" customHeight="1" x14ac:dyDescent="0.3"/>
    <row r="482" ht="15" customHeight="1" x14ac:dyDescent="0.3"/>
    <row r="483" ht="15" customHeight="1" x14ac:dyDescent="0.3"/>
    <row r="484" ht="15" customHeight="1" x14ac:dyDescent="0.3"/>
    <row r="485" ht="15" customHeight="1" x14ac:dyDescent="0.3"/>
    <row r="486" ht="15" customHeight="1" x14ac:dyDescent="0.3"/>
    <row r="487" ht="15" customHeight="1" x14ac:dyDescent="0.3"/>
    <row r="488" ht="15" customHeight="1" x14ac:dyDescent="0.3"/>
    <row r="489" ht="15" customHeight="1" x14ac:dyDescent="0.3"/>
    <row r="490" ht="15" customHeight="1" x14ac:dyDescent="0.3"/>
    <row r="491" ht="15" customHeight="1" x14ac:dyDescent="0.3"/>
    <row r="492" ht="15" customHeight="1" x14ac:dyDescent="0.3"/>
    <row r="493" ht="15" customHeight="1" x14ac:dyDescent="0.3"/>
    <row r="494" ht="15" customHeight="1" x14ac:dyDescent="0.3"/>
    <row r="495" ht="15" customHeight="1" x14ac:dyDescent="0.3"/>
    <row r="496" ht="15" customHeight="1" x14ac:dyDescent="0.3"/>
    <row r="497" ht="15" customHeight="1" x14ac:dyDescent="0.3"/>
    <row r="498" ht="15" customHeight="1" x14ac:dyDescent="0.3"/>
    <row r="499" ht="15" customHeight="1" x14ac:dyDescent="0.3"/>
    <row r="500" ht="15" customHeight="1" x14ac:dyDescent="0.3"/>
    <row r="501" ht="15" customHeight="1" x14ac:dyDescent="0.3"/>
    <row r="502" ht="15" customHeight="1" x14ac:dyDescent="0.3"/>
    <row r="503" ht="15" customHeight="1" x14ac:dyDescent="0.3"/>
    <row r="504" ht="15" customHeight="1" x14ac:dyDescent="0.3"/>
    <row r="505" ht="15" customHeight="1" x14ac:dyDescent="0.3"/>
    <row r="506" ht="15" customHeight="1" x14ac:dyDescent="0.3"/>
    <row r="507" ht="15" customHeight="1" x14ac:dyDescent="0.3"/>
    <row r="508" ht="15" customHeight="1" x14ac:dyDescent="0.3"/>
    <row r="509" ht="15" customHeight="1" x14ac:dyDescent="0.3"/>
    <row r="510" ht="15" customHeight="1" x14ac:dyDescent="0.3"/>
    <row r="511" ht="15" customHeight="1" x14ac:dyDescent="0.3"/>
    <row r="512" ht="15" customHeight="1" x14ac:dyDescent="0.3"/>
    <row r="513" ht="15" customHeight="1" x14ac:dyDescent="0.3"/>
    <row r="514" ht="15" customHeight="1" x14ac:dyDescent="0.3"/>
    <row r="515" ht="15" customHeight="1" x14ac:dyDescent="0.3"/>
    <row r="516" ht="15" customHeight="1" x14ac:dyDescent="0.3"/>
    <row r="517" ht="15" customHeight="1" x14ac:dyDescent="0.3"/>
    <row r="518" ht="15" customHeight="1" x14ac:dyDescent="0.3"/>
    <row r="519" ht="15" customHeight="1" x14ac:dyDescent="0.3"/>
    <row r="520" ht="15" customHeight="1" x14ac:dyDescent="0.3"/>
    <row r="521" ht="15" customHeight="1" x14ac:dyDescent="0.3"/>
    <row r="522" ht="15" customHeight="1" x14ac:dyDescent="0.3"/>
    <row r="523" ht="15" customHeight="1" x14ac:dyDescent="0.3"/>
    <row r="524" ht="15" customHeight="1" x14ac:dyDescent="0.3"/>
    <row r="525" ht="15" customHeight="1" x14ac:dyDescent="0.3"/>
    <row r="526" ht="15" customHeight="1" x14ac:dyDescent="0.3"/>
    <row r="527" ht="15" customHeight="1" x14ac:dyDescent="0.3"/>
    <row r="528" ht="15" customHeight="1" x14ac:dyDescent="0.3"/>
    <row r="529" ht="15" customHeight="1" x14ac:dyDescent="0.3"/>
    <row r="530" ht="15" customHeight="1" x14ac:dyDescent="0.3"/>
    <row r="531" ht="15" customHeight="1" x14ac:dyDescent="0.3"/>
    <row r="532" ht="15" customHeight="1" x14ac:dyDescent="0.3"/>
    <row r="533" ht="15" customHeight="1" x14ac:dyDescent="0.3"/>
    <row r="534" ht="15" customHeight="1" x14ac:dyDescent="0.3"/>
    <row r="535" ht="15" customHeight="1" x14ac:dyDescent="0.3"/>
    <row r="536" ht="15" customHeight="1" x14ac:dyDescent="0.3"/>
    <row r="537" ht="15" customHeight="1" x14ac:dyDescent="0.3"/>
    <row r="538" ht="15" customHeight="1" x14ac:dyDescent="0.3"/>
    <row r="539" ht="15" customHeight="1" x14ac:dyDescent="0.3"/>
    <row r="540" ht="15" customHeight="1" x14ac:dyDescent="0.3"/>
    <row r="541" ht="15" customHeight="1" x14ac:dyDescent="0.3"/>
    <row r="542" ht="15" customHeight="1" x14ac:dyDescent="0.3"/>
    <row r="543" ht="15" customHeight="1" x14ac:dyDescent="0.3"/>
    <row r="544" ht="15" customHeight="1" x14ac:dyDescent="0.3"/>
    <row r="545" ht="15" customHeight="1" x14ac:dyDescent="0.3"/>
    <row r="546" ht="15" customHeight="1" x14ac:dyDescent="0.3"/>
    <row r="547" ht="15" customHeight="1" x14ac:dyDescent="0.3"/>
    <row r="548" ht="15" customHeight="1" x14ac:dyDescent="0.3"/>
    <row r="549" ht="15" customHeight="1" x14ac:dyDescent="0.3"/>
    <row r="550" ht="15" customHeight="1" x14ac:dyDescent="0.3"/>
    <row r="551" ht="15" customHeight="1" x14ac:dyDescent="0.3"/>
    <row r="552" ht="15" customHeight="1" x14ac:dyDescent="0.3"/>
    <row r="553" ht="15" customHeight="1" x14ac:dyDescent="0.3"/>
    <row r="554" ht="15" customHeight="1" x14ac:dyDescent="0.3"/>
    <row r="555" ht="15" customHeight="1" x14ac:dyDescent="0.3"/>
    <row r="556" ht="15" customHeight="1" x14ac:dyDescent="0.3"/>
    <row r="557" ht="15" customHeight="1" x14ac:dyDescent="0.3"/>
    <row r="558" ht="15" customHeight="1" x14ac:dyDescent="0.3"/>
    <row r="559" ht="15" customHeight="1" x14ac:dyDescent="0.3"/>
    <row r="560" ht="15" customHeight="1" x14ac:dyDescent="0.3"/>
    <row r="561" ht="15" customHeight="1" x14ac:dyDescent="0.3"/>
    <row r="562" ht="15" customHeight="1" x14ac:dyDescent="0.3"/>
    <row r="563" ht="15" customHeight="1" x14ac:dyDescent="0.3"/>
    <row r="564" ht="15" customHeight="1" x14ac:dyDescent="0.3"/>
    <row r="565" ht="15" customHeight="1" x14ac:dyDescent="0.3"/>
    <row r="566" ht="15" customHeight="1" x14ac:dyDescent="0.3"/>
    <row r="567" ht="15" customHeight="1" x14ac:dyDescent="0.3"/>
    <row r="568" ht="15" customHeight="1" x14ac:dyDescent="0.3"/>
    <row r="569" ht="15" customHeight="1" x14ac:dyDescent="0.3"/>
    <row r="570" ht="15" customHeight="1" x14ac:dyDescent="0.3"/>
    <row r="571" ht="15" customHeight="1" x14ac:dyDescent="0.3"/>
    <row r="572" ht="15" customHeight="1" x14ac:dyDescent="0.3"/>
    <row r="573" ht="15" customHeight="1" x14ac:dyDescent="0.3"/>
    <row r="574" ht="15" customHeight="1" x14ac:dyDescent="0.3"/>
    <row r="575" ht="15" customHeight="1" x14ac:dyDescent="0.3"/>
    <row r="576" ht="15" customHeight="1" x14ac:dyDescent="0.3"/>
    <row r="577" ht="15" customHeight="1" x14ac:dyDescent="0.3"/>
    <row r="578" ht="15" customHeight="1" x14ac:dyDescent="0.3"/>
    <row r="579" ht="15" customHeight="1" x14ac:dyDescent="0.3"/>
    <row r="580" ht="15" customHeight="1" x14ac:dyDescent="0.3"/>
    <row r="581" ht="15" customHeight="1" x14ac:dyDescent="0.3"/>
    <row r="582" ht="15" customHeight="1" x14ac:dyDescent="0.3"/>
    <row r="583" ht="15" customHeight="1" x14ac:dyDescent="0.3"/>
    <row r="584" ht="15" customHeight="1" x14ac:dyDescent="0.3"/>
    <row r="585" ht="15" customHeight="1" x14ac:dyDescent="0.3"/>
    <row r="586" ht="15" customHeight="1" x14ac:dyDescent="0.3"/>
    <row r="587" ht="15" customHeight="1" x14ac:dyDescent="0.3"/>
    <row r="588" ht="15" customHeight="1" x14ac:dyDescent="0.3"/>
    <row r="589" ht="15" customHeight="1" x14ac:dyDescent="0.3"/>
    <row r="590" ht="15" customHeight="1" x14ac:dyDescent="0.3"/>
    <row r="591" ht="15" customHeight="1" x14ac:dyDescent="0.3"/>
    <row r="592" ht="15" customHeight="1" x14ac:dyDescent="0.3"/>
    <row r="593" ht="15" customHeight="1" x14ac:dyDescent="0.3"/>
    <row r="594" ht="15" customHeight="1" x14ac:dyDescent="0.3"/>
    <row r="595" ht="15" customHeight="1" x14ac:dyDescent="0.3"/>
    <row r="596" ht="15" customHeight="1" x14ac:dyDescent="0.3"/>
    <row r="597" ht="15" customHeight="1" x14ac:dyDescent="0.3"/>
    <row r="598" ht="15" customHeight="1" x14ac:dyDescent="0.3"/>
    <row r="599" ht="15" customHeight="1" x14ac:dyDescent="0.3"/>
    <row r="600" ht="15" customHeight="1" x14ac:dyDescent="0.3"/>
    <row r="601" ht="15" customHeight="1" x14ac:dyDescent="0.3"/>
    <row r="602" ht="15" customHeight="1" x14ac:dyDescent="0.3"/>
    <row r="603" ht="15" customHeight="1" x14ac:dyDescent="0.3"/>
    <row r="604" ht="15" customHeight="1" x14ac:dyDescent="0.3"/>
    <row r="605" ht="15" customHeight="1" x14ac:dyDescent="0.3"/>
    <row r="606" ht="15" customHeight="1" x14ac:dyDescent="0.3"/>
    <row r="607" ht="15" customHeight="1" x14ac:dyDescent="0.3"/>
    <row r="608" ht="15" customHeight="1" x14ac:dyDescent="0.3"/>
    <row r="609" ht="15" customHeight="1" x14ac:dyDescent="0.3"/>
    <row r="610" ht="15" customHeight="1" x14ac:dyDescent="0.3"/>
    <row r="611" ht="15" customHeight="1" x14ac:dyDescent="0.3"/>
    <row r="612" ht="15" customHeight="1" x14ac:dyDescent="0.3"/>
    <row r="613" ht="15" customHeight="1" x14ac:dyDescent="0.3"/>
    <row r="614" ht="15" customHeight="1" x14ac:dyDescent="0.3"/>
    <row r="615" ht="15" customHeight="1" x14ac:dyDescent="0.3"/>
    <row r="616" ht="15" customHeight="1" x14ac:dyDescent="0.3"/>
    <row r="617" ht="15" customHeight="1" x14ac:dyDescent="0.3"/>
    <row r="618" ht="15" customHeight="1" x14ac:dyDescent="0.3"/>
    <row r="619" ht="15" customHeight="1" x14ac:dyDescent="0.3"/>
    <row r="620" ht="15" customHeight="1" x14ac:dyDescent="0.3"/>
    <row r="621" ht="15" customHeight="1" x14ac:dyDescent="0.3"/>
    <row r="622" ht="15" customHeight="1" x14ac:dyDescent="0.3"/>
    <row r="623" ht="15" customHeight="1" x14ac:dyDescent="0.3"/>
    <row r="624" ht="15" customHeight="1" x14ac:dyDescent="0.3"/>
    <row r="625" ht="15" customHeight="1" x14ac:dyDescent="0.3"/>
    <row r="626" ht="15" customHeight="1" x14ac:dyDescent="0.3"/>
    <row r="627" ht="15" customHeight="1" x14ac:dyDescent="0.3"/>
    <row r="628" ht="15" customHeight="1" x14ac:dyDescent="0.3"/>
    <row r="629" ht="15" customHeight="1" x14ac:dyDescent="0.3"/>
    <row r="630" ht="15" customHeight="1" x14ac:dyDescent="0.3"/>
    <row r="631" ht="15" customHeight="1" x14ac:dyDescent="0.3"/>
    <row r="632" ht="15" customHeight="1" x14ac:dyDescent="0.3"/>
    <row r="633" ht="15" customHeight="1" x14ac:dyDescent="0.3"/>
    <row r="634" ht="15" customHeight="1" x14ac:dyDescent="0.3"/>
    <row r="635" ht="15" customHeight="1" x14ac:dyDescent="0.3"/>
    <row r="636" ht="15" customHeight="1" x14ac:dyDescent="0.3"/>
    <row r="637" ht="15" customHeight="1" x14ac:dyDescent="0.3"/>
    <row r="638" ht="15" customHeight="1" x14ac:dyDescent="0.3"/>
    <row r="639" ht="15" customHeight="1" x14ac:dyDescent="0.3"/>
    <row r="640" ht="15" customHeight="1" x14ac:dyDescent="0.3"/>
    <row r="641" ht="15" customHeight="1" x14ac:dyDescent="0.3"/>
    <row r="642" ht="15" customHeight="1" x14ac:dyDescent="0.3"/>
    <row r="643" ht="15" customHeight="1" x14ac:dyDescent="0.3"/>
    <row r="644" ht="15" customHeight="1" x14ac:dyDescent="0.3"/>
    <row r="645" ht="15" customHeight="1" x14ac:dyDescent="0.3"/>
    <row r="646" ht="15" customHeight="1" x14ac:dyDescent="0.3"/>
    <row r="647" ht="15" customHeight="1" x14ac:dyDescent="0.3"/>
    <row r="648" ht="15" customHeight="1" x14ac:dyDescent="0.3"/>
    <row r="649" ht="15" customHeight="1" x14ac:dyDescent="0.3"/>
    <row r="650" ht="15" customHeight="1" x14ac:dyDescent="0.3"/>
    <row r="651" ht="15" customHeight="1" x14ac:dyDescent="0.3"/>
    <row r="652" ht="15" customHeight="1" x14ac:dyDescent="0.3"/>
    <row r="653" ht="15" customHeight="1" x14ac:dyDescent="0.3"/>
    <row r="654" ht="15" customHeight="1" x14ac:dyDescent="0.3"/>
    <row r="655" ht="15" customHeight="1" x14ac:dyDescent="0.3"/>
    <row r="656" ht="15" customHeight="1" x14ac:dyDescent="0.3"/>
    <row r="657" ht="15" customHeight="1" x14ac:dyDescent="0.3"/>
    <row r="658" ht="15" customHeight="1" x14ac:dyDescent="0.3"/>
    <row r="659" ht="15" customHeight="1" x14ac:dyDescent="0.3"/>
    <row r="660" ht="15" customHeight="1" x14ac:dyDescent="0.3"/>
    <row r="661" ht="15" customHeight="1" x14ac:dyDescent="0.3"/>
    <row r="662" ht="15" customHeight="1" x14ac:dyDescent="0.3"/>
    <row r="663" ht="15" customHeight="1" x14ac:dyDescent="0.3"/>
    <row r="664" ht="15" customHeight="1" x14ac:dyDescent="0.3"/>
    <row r="665" ht="15" customHeight="1" x14ac:dyDescent="0.3"/>
    <row r="666" ht="15" customHeight="1" x14ac:dyDescent="0.3"/>
    <row r="667" ht="15" customHeight="1" x14ac:dyDescent="0.3"/>
    <row r="668" ht="15" customHeight="1" x14ac:dyDescent="0.3"/>
    <row r="669" ht="15" customHeight="1" x14ac:dyDescent="0.3"/>
    <row r="670" ht="15" customHeight="1" x14ac:dyDescent="0.3"/>
    <row r="671" ht="15" customHeight="1" x14ac:dyDescent="0.3"/>
    <row r="672" ht="15" customHeight="1" x14ac:dyDescent="0.3"/>
    <row r="673" ht="15" customHeight="1" x14ac:dyDescent="0.3"/>
    <row r="674" ht="15" customHeight="1" x14ac:dyDescent="0.3"/>
    <row r="675" ht="15" customHeight="1" x14ac:dyDescent="0.3"/>
    <row r="676" ht="15" customHeight="1" x14ac:dyDescent="0.3"/>
    <row r="677" ht="15" customHeight="1" x14ac:dyDescent="0.3"/>
    <row r="678" ht="15" customHeight="1" x14ac:dyDescent="0.3"/>
    <row r="679" ht="15" customHeight="1" x14ac:dyDescent="0.3"/>
    <row r="680" ht="15" customHeight="1" x14ac:dyDescent="0.3"/>
    <row r="681" ht="15" customHeight="1" x14ac:dyDescent="0.3"/>
    <row r="682" ht="15" customHeight="1" x14ac:dyDescent="0.3"/>
    <row r="683" ht="15" customHeight="1" x14ac:dyDescent="0.3"/>
    <row r="684" ht="15" customHeight="1" x14ac:dyDescent="0.3"/>
    <row r="685" ht="15" customHeight="1" x14ac:dyDescent="0.3"/>
    <row r="686" ht="15" customHeight="1" x14ac:dyDescent="0.3"/>
    <row r="687" ht="15" customHeight="1" x14ac:dyDescent="0.3"/>
    <row r="688" ht="15" customHeight="1" x14ac:dyDescent="0.3"/>
    <row r="689" ht="15" customHeight="1" x14ac:dyDescent="0.3"/>
    <row r="690" ht="15" customHeight="1" x14ac:dyDescent="0.3"/>
    <row r="691" ht="15" customHeight="1" x14ac:dyDescent="0.3"/>
    <row r="692" ht="15" customHeight="1" x14ac:dyDescent="0.3"/>
    <row r="693" ht="15" customHeight="1" x14ac:dyDescent="0.3"/>
    <row r="694" ht="15" customHeight="1" x14ac:dyDescent="0.3"/>
    <row r="695" ht="15" customHeight="1" x14ac:dyDescent="0.3"/>
    <row r="696" ht="15" customHeight="1" x14ac:dyDescent="0.3"/>
    <row r="697" ht="15" customHeight="1" x14ac:dyDescent="0.3"/>
    <row r="698" ht="15" customHeight="1" x14ac:dyDescent="0.3"/>
    <row r="699" ht="15" customHeight="1" x14ac:dyDescent="0.3"/>
    <row r="700" ht="15" customHeight="1" x14ac:dyDescent="0.3"/>
    <row r="701" ht="15" customHeight="1" x14ac:dyDescent="0.3"/>
    <row r="702" ht="15" customHeight="1" x14ac:dyDescent="0.3"/>
    <row r="703" ht="15" customHeight="1" x14ac:dyDescent="0.3"/>
    <row r="704" ht="15" customHeight="1" x14ac:dyDescent="0.3"/>
    <row r="705" ht="15" customHeight="1" x14ac:dyDescent="0.3"/>
    <row r="706" ht="15" customHeight="1" x14ac:dyDescent="0.3"/>
    <row r="707" ht="15" customHeight="1" x14ac:dyDescent="0.3"/>
    <row r="708" ht="15" customHeight="1" x14ac:dyDescent="0.3"/>
    <row r="709" ht="15" customHeight="1" x14ac:dyDescent="0.3"/>
    <row r="710" ht="15" customHeight="1" x14ac:dyDescent="0.3"/>
    <row r="711" ht="15" customHeight="1" x14ac:dyDescent="0.3"/>
    <row r="712" ht="15" customHeight="1" x14ac:dyDescent="0.3"/>
    <row r="713" ht="15" customHeight="1" x14ac:dyDescent="0.3"/>
    <row r="714" ht="15" customHeight="1" x14ac:dyDescent="0.3"/>
    <row r="715" ht="15" customHeight="1" x14ac:dyDescent="0.3"/>
    <row r="716" ht="15" customHeight="1" x14ac:dyDescent="0.3"/>
    <row r="717" ht="15" customHeight="1" x14ac:dyDescent="0.3"/>
    <row r="718" ht="15" customHeight="1" x14ac:dyDescent="0.3"/>
    <row r="719" ht="15" customHeight="1" x14ac:dyDescent="0.3"/>
    <row r="720" ht="15" customHeight="1" x14ac:dyDescent="0.3"/>
    <row r="721" ht="15" customHeight="1" x14ac:dyDescent="0.3"/>
    <row r="722" ht="15" customHeight="1" x14ac:dyDescent="0.3"/>
    <row r="723" ht="15" customHeight="1" x14ac:dyDescent="0.3"/>
    <row r="724" ht="15" customHeight="1" x14ac:dyDescent="0.3"/>
    <row r="725" ht="15" customHeight="1" x14ac:dyDescent="0.3"/>
    <row r="726" ht="15" customHeight="1" x14ac:dyDescent="0.3"/>
    <row r="727" ht="15" customHeight="1" x14ac:dyDescent="0.3"/>
    <row r="728" ht="15" customHeight="1" x14ac:dyDescent="0.3"/>
    <row r="729" ht="15" customHeight="1" x14ac:dyDescent="0.3"/>
    <row r="730" ht="15" customHeight="1" x14ac:dyDescent="0.3"/>
    <row r="731" ht="15" customHeight="1" x14ac:dyDescent="0.3"/>
    <row r="732" ht="15" customHeight="1" x14ac:dyDescent="0.3"/>
    <row r="733" ht="15" customHeight="1" x14ac:dyDescent="0.3"/>
    <row r="734" ht="15" customHeight="1" x14ac:dyDescent="0.3"/>
    <row r="735" ht="15" customHeight="1" x14ac:dyDescent="0.3"/>
    <row r="736" ht="15" customHeight="1" x14ac:dyDescent="0.3"/>
    <row r="737" ht="15" customHeight="1" x14ac:dyDescent="0.3"/>
    <row r="738" ht="15" customHeight="1" x14ac:dyDescent="0.3"/>
    <row r="739" ht="15" customHeight="1" x14ac:dyDescent="0.3"/>
    <row r="740" ht="15" customHeight="1" x14ac:dyDescent="0.3"/>
    <row r="741" ht="15" customHeight="1" x14ac:dyDescent="0.3"/>
    <row r="742" ht="15" customHeight="1" x14ac:dyDescent="0.3"/>
    <row r="743" ht="15" customHeight="1" x14ac:dyDescent="0.3"/>
    <row r="744" ht="15" customHeight="1" x14ac:dyDescent="0.3"/>
    <row r="745" ht="15" customHeight="1" x14ac:dyDescent="0.3"/>
    <row r="746" ht="15" customHeight="1" x14ac:dyDescent="0.3"/>
    <row r="747" ht="15" customHeight="1" x14ac:dyDescent="0.3"/>
    <row r="748" ht="15" customHeight="1" x14ac:dyDescent="0.3"/>
    <row r="749" ht="15" customHeight="1" x14ac:dyDescent="0.3"/>
    <row r="750" ht="15" customHeight="1" x14ac:dyDescent="0.3"/>
    <row r="751" ht="15" customHeight="1" x14ac:dyDescent="0.3"/>
    <row r="752" ht="15" customHeight="1" x14ac:dyDescent="0.3"/>
    <row r="753" ht="15" customHeight="1" x14ac:dyDescent="0.3"/>
    <row r="754" ht="15" customHeight="1" x14ac:dyDescent="0.3"/>
    <row r="755" ht="15" customHeight="1" x14ac:dyDescent="0.3"/>
    <row r="756" ht="15" customHeight="1" x14ac:dyDescent="0.3"/>
    <row r="757" ht="15" customHeight="1" x14ac:dyDescent="0.3"/>
    <row r="758" ht="15" customHeight="1" x14ac:dyDescent="0.3"/>
    <row r="759" ht="15" customHeight="1" x14ac:dyDescent="0.3"/>
    <row r="760" ht="15" customHeight="1" x14ac:dyDescent="0.3"/>
    <row r="761" ht="15" customHeight="1" x14ac:dyDescent="0.3"/>
    <row r="762" ht="15" customHeight="1" x14ac:dyDescent="0.3"/>
    <row r="763" ht="15" customHeight="1" x14ac:dyDescent="0.3"/>
    <row r="764" ht="15" customHeight="1" x14ac:dyDescent="0.3"/>
    <row r="765" ht="15" customHeight="1" x14ac:dyDescent="0.3"/>
    <row r="766" ht="15" customHeight="1" x14ac:dyDescent="0.3"/>
    <row r="767" ht="15" customHeight="1" x14ac:dyDescent="0.3"/>
    <row r="768" ht="15" customHeight="1" x14ac:dyDescent="0.3"/>
    <row r="769" ht="15" customHeight="1" x14ac:dyDescent="0.3"/>
    <row r="770" ht="15" customHeight="1" x14ac:dyDescent="0.3"/>
    <row r="771" ht="15" customHeight="1" x14ac:dyDescent="0.3"/>
    <row r="772" ht="15" customHeight="1" x14ac:dyDescent="0.3"/>
    <row r="773" ht="15" customHeight="1" x14ac:dyDescent="0.3"/>
    <row r="774" ht="15" customHeight="1" x14ac:dyDescent="0.3"/>
    <row r="775" ht="15" customHeight="1" x14ac:dyDescent="0.3"/>
    <row r="776" ht="15" customHeight="1" x14ac:dyDescent="0.3"/>
    <row r="777" ht="15" customHeight="1" x14ac:dyDescent="0.3"/>
    <row r="778" ht="15" customHeight="1" x14ac:dyDescent="0.3"/>
    <row r="779" ht="15" customHeight="1" x14ac:dyDescent="0.3"/>
    <row r="780" ht="15" customHeight="1" x14ac:dyDescent="0.3"/>
    <row r="781" ht="15" customHeight="1" x14ac:dyDescent="0.3"/>
    <row r="782" ht="15" customHeight="1" x14ac:dyDescent="0.3"/>
    <row r="783" ht="15" customHeight="1" x14ac:dyDescent="0.3"/>
    <row r="784" ht="15" customHeight="1" x14ac:dyDescent="0.3"/>
    <row r="785" ht="15" customHeight="1" x14ac:dyDescent="0.3"/>
    <row r="786" ht="15" customHeight="1" x14ac:dyDescent="0.3"/>
    <row r="787" ht="15" customHeight="1" x14ac:dyDescent="0.3"/>
    <row r="788" ht="15" customHeight="1" x14ac:dyDescent="0.3"/>
    <row r="789" ht="15" customHeight="1" x14ac:dyDescent="0.3"/>
    <row r="790" ht="15" customHeight="1" x14ac:dyDescent="0.3"/>
    <row r="791" ht="15" customHeight="1" x14ac:dyDescent="0.3"/>
    <row r="792" ht="15" customHeight="1" x14ac:dyDescent="0.3"/>
    <row r="793" ht="15" customHeight="1" x14ac:dyDescent="0.3"/>
    <row r="794" ht="15" customHeight="1" x14ac:dyDescent="0.3"/>
    <row r="795" ht="15" customHeight="1" x14ac:dyDescent="0.3"/>
    <row r="796" ht="15" customHeight="1" x14ac:dyDescent="0.3"/>
    <row r="797" ht="15" customHeight="1" x14ac:dyDescent="0.3"/>
    <row r="798" ht="15" customHeight="1" x14ac:dyDescent="0.3"/>
    <row r="799" ht="15" customHeight="1" x14ac:dyDescent="0.3"/>
    <row r="800" ht="15" customHeight="1" x14ac:dyDescent="0.3"/>
    <row r="801" ht="15" customHeight="1" x14ac:dyDescent="0.3"/>
    <row r="802" ht="15" customHeight="1" x14ac:dyDescent="0.3"/>
    <row r="803" ht="15" customHeight="1" x14ac:dyDescent="0.3"/>
    <row r="804" ht="15" customHeight="1" x14ac:dyDescent="0.3"/>
    <row r="805" ht="15" customHeight="1" x14ac:dyDescent="0.3"/>
    <row r="806" ht="15" customHeight="1" x14ac:dyDescent="0.3"/>
    <row r="807" ht="15" customHeight="1" x14ac:dyDescent="0.3"/>
    <row r="808" ht="15" customHeight="1" x14ac:dyDescent="0.3"/>
    <row r="809" ht="15" customHeight="1" x14ac:dyDescent="0.3"/>
    <row r="810" ht="15" customHeight="1" x14ac:dyDescent="0.3"/>
    <row r="811" ht="15" customHeight="1" x14ac:dyDescent="0.3"/>
    <row r="812" ht="15" customHeight="1" x14ac:dyDescent="0.3"/>
    <row r="813" ht="15" customHeight="1" x14ac:dyDescent="0.3"/>
    <row r="814" ht="15" customHeight="1" x14ac:dyDescent="0.3"/>
    <row r="815" ht="15" customHeight="1" x14ac:dyDescent="0.3"/>
    <row r="816" ht="15" customHeight="1" x14ac:dyDescent="0.3"/>
    <row r="817" ht="15" customHeight="1" x14ac:dyDescent="0.3"/>
    <row r="818" ht="15" customHeight="1" x14ac:dyDescent="0.3"/>
    <row r="819" ht="15" customHeight="1" x14ac:dyDescent="0.3"/>
    <row r="820" ht="15" customHeight="1" x14ac:dyDescent="0.3"/>
    <row r="821" ht="15" customHeight="1" x14ac:dyDescent="0.3"/>
    <row r="822" ht="15" customHeight="1" x14ac:dyDescent="0.3"/>
    <row r="823" ht="15" customHeight="1" x14ac:dyDescent="0.3"/>
    <row r="824" ht="15" customHeight="1" x14ac:dyDescent="0.3"/>
    <row r="825" ht="15" customHeight="1" x14ac:dyDescent="0.3"/>
    <row r="826" ht="15" customHeight="1" x14ac:dyDescent="0.3"/>
    <row r="827" ht="15" customHeight="1" x14ac:dyDescent="0.3"/>
    <row r="828" ht="15" customHeight="1" x14ac:dyDescent="0.3"/>
    <row r="829" ht="15" customHeight="1" x14ac:dyDescent="0.3"/>
    <row r="830" ht="15" customHeight="1" x14ac:dyDescent="0.3"/>
    <row r="831" ht="15" customHeight="1" x14ac:dyDescent="0.3"/>
    <row r="832" ht="15" customHeight="1" x14ac:dyDescent="0.3"/>
    <row r="833" ht="15" customHeight="1" x14ac:dyDescent="0.3"/>
    <row r="834" ht="15" customHeight="1" x14ac:dyDescent="0.3"/>
    <row r="835" ht="15" customHeight="1" x14ac:dyDescent="0.3"/>
    <row r="836" ht="15" customHeight="1" x14ac:dyDescent="0.3"/>
    <row r="837" ht="15" customHeight="1" x14ac:dyDescent="0.3"/>
    <row r="838" ht="15" customHeight="1" x14ac:dyDescent="0.3"/>
    <row r="839" ht="15" customHeight="1" x14ac:dyDescent="0.3"/>
    <row r="840" ht="15" customHeight="1" x14ac:dyDescent="0.3"/>
    <row r="841" ht="15" customHeight="1" x14ac:dyDescent="0.3"/>
    <row r="842" ht="15" customHeight="1" x14ac:dyDescent="0.3"/>
    <row r="843" ht="15" customHeight="1" x14ac:dyDescent="0.3"/>
    <row r="844" ht="15" customHeight="1" x14ac:dyDescent="0.3"/>
    <row r="845" ht="15" customHeight="1" x14ac:dyDescent="0.3"/>
    <row r="846" ht="15" customHeight="1" x14ac:dyDescent="0.3"/>
    <row r="847" ht="15" customHeight="1" x14ac:dyDescent="0.3"/>
    <row r="848" ht="15" customHeight="1" x14ac:dyDescent="0.3"/>
    <row r="849" ht="15" customHeight="1" x14ac:dyDescent="0.3"/>
    <row r="850" ht="15" customHeight="1" x14ac:dyDescent="0.3"/>
    <row r="851" ht="15" customHeight="1" x14ac:dyDescent="0.3"/>
    <row r="852" ht="15" customHeight="1" x14ac:dyDescent="0.3"/>
    <row r="853" ht="15" customHeight="1" x14ac:dyDescent="0.3"/>
    <row r="854" ht="15" customHeight="1" x14ac:dyDescent="0.3"/>
    <row r="855" ht="15" customHeight="1" x14ac:dyDescent="0.3"/>
    <row r="856" ht="15" customHeight="1" x14ac:dyDescent="0.3"/>
    <row r="857" ht="15" customHeight="1" x14ac:dyDescent="0.3"/>
    <row r="858" ht="15" customHeight="1" x14ac:dyDescent="0.3"/>
    <row r="859" ht="15" customHeight="1" x14ac:dyDescent="0.3"/>
    <row r="860" ht="15" customHeight="1" x14ac:dyDescent="0.3"/>
    <row r="861" ht="15" customHeight="1" x14ac:dyDescent="0.3"/>
    <row r="862" ht="15" customHeight="1" x14ac:dyDescent="0.3"/>
    <row r="863" ht="15" customHeight="1" x14ac:dyDescent="0.3"/>
    <row r="864" ht="15" customHeight="1" x14ac:dyDescent="0.3"/>
    <row r="865" ht="15" customHeight="1" x14ac:dyDescent="0.3"/>
    <row r="866" ht="15" customHeight="1" x14ac:dyDescent="0.3"/>
    <row r="867" ht="15" customHeight="1" x14ac:dyDescent="0.3"/>
    <row r="868" ht="15" customHeight="1" x14ac:dyDescent="0.3"/>
    <row r="869" ht="15" customHeight="1" x14ac:dyDescent="0.3"/>
    <row r="870" ht="15" customHeight="1" x14ac:dyDescent="0.3"/>
    <row r="871" ht="15" customHeight="1" x14ac:dyDescent="0.3"/>
    <row r="872" ht="15" customHeight="1" x14ac:dyDescent="0.3"/>
    <row r="873" ht="15" customHeight="1" x14ac:dyDescent="0.3"/>
    <row r="874" ht="15" customHeight="1" x14ac:dyDescent="0.3"/>
    <row r="875" ht="15" customHeight="1" x14ac:dyDescent="0.3"/>
    <row r="876" ht="15" customHeight="1" x14ac:dyDescent="0.3"/>
    <row r="877" ht="15" customHeight="1" x14ac:dyDescent="0.3"/>
    <row r="878" ht="15" customHeight="1" x14ac:dyDescent="0.3"/>
    <row r="879" ht="15" customHeight="1" x14ac:dyDescent="0.3"/>
    <row r="880" ht="15" customHeight="1" x14ac:dyDescent="0.3"/>
    <row r="881" ht="15" customHeight="1" x14ac:dyDescent="0.3"/>
    <row r="882" ht="15" customHeight="1" x14ac:dyDescent="0.3"/>
    <row r="883" ht="15" customHeight="1" x14ac:dyDescent="0.3"/>
    <row r="884" ht="15" customHeight="1" x14ac:dyDescent="0.3"/>
    <row r="885" ht="15" customHeight="1" x14ac:dyDescent="0.3"/>
    <row r="886" ht="15" customHeight="1" x14ac:dyDescent="0.3"/>
    <row r="887" ht="15" customHeight="1" x14ac:dyDescent="0.3"/>
    <row r="888" ht="15" customHeight="1" x14ac:dyDescent="0.3"/>
    <row r="889" ht="15" customHeight="1" x14ac:dyDescent="0.3"/>
    <row r="890" ht="15" customHeight="1" x14ac:dyDescent="0.3"/>
    <row r="891" ht="15" customHeight="1" x14ac:dyDescent="0.3"/>
    <row r="892" ht="15" customHeight="1" x14ac:dyDescent="0.3"/>
    <row r="893" ht="15" customHeight="1" x14ac:dyDescent="0.3"/>
    <row r="894" ht="15" customHeight="1" x14ac:dyDescent="0.3"/>
    <row r="895" ht="15" customHeight="1" x14ac:dyDescent="0.3"/>
    <row r="896" ht="15" customHeight="1" x14ac:dyDescent="0.3"/>
    <row r="897" ht="15" customHeight="1" x14ac:dyDescent="0.3"/>
    <row r="898" ht="15" customHeight="1" x14ac:dyDescent="0.3"/>
    <row r="899" ht="15" customHeight="1" x14ac:dyDescent="0.3"/>
    <row r="900" ht="15" customHeight="1" x14ac:dyDescent="0.3"/>
    <row r="901" ht="15" customHeight="1" x14ac:dyDescent="0.3"/>
    <row r="902" ht="15" customHeight="1" x14ac:dyDescent="0.3"/>
    <row r="903" ht="15" customHeight="1" x14ac:dyDescent="0.3"/>
    <row r="904" ht="15" customHeight="1" x14ac:dyDescent="0.3"/>
    <row r="905" ht="15" customHeight="1" x14ac:dyDescent="0.3"/>
    <row r="906" ht="15" customHeight="1" x14ac:dyDescent="0.3"/>
    <row r="907" ht="15" customHeight="1" x14ac:dyDescent="0.3"/>
    <row r="908" ht="15" customHeight="1" x14ac:dyDescent="0.3"/>
    <row r="909" ht="15" customHeight="1" x14ac:dyDescent="0.3"/>
    <row r="910" ht="15" customHeight="1" x14ac:dyDescent="0.3"/>
    <row r="911" ht="15" customHeight="1" x14ac:dyDescent="0.3"/>
    <row r="912" ht="15" customHeight="1" x14ac:dyDescent="0.3"/>
    <row r="913" ht="15" customHeight="1" x14ac:dyDescent="0.3"/>
    <row r="914" ht="15" customHeight="1" x14ac:dyDescent="0.3"/>
    <row r="915" ht="15" customHeight="1" x14ac:dyDescent="0.3"/>
    <row r="916" ht="15" customHeight="1" x14ac:dyDescent="0.3"/>
    <row r="917" ht="15" customHeight="1" x14ac:dyDescent="0.3"/>
    <row r="918" ht="15" customHeight="1" x14ac:dyDescent="0.3"/>
    <row r="919" ht="15" customHeight="1" x14ac:dyDescent="0.3"/>
    <row r="920" ht="15" customHeight="1" x14ac:dyDescent="0.3"/>
    <row r="921" ht="15" customHeight="1" x14ac:dyDescent="0.3"/>
    <row r="922" ht="15" customHeight="1" x14ac:dyDescent="0.3"/>
    <row r="923" ht="15" customHeight="1" x14ac:dyDescent="0.3"/>
    <row r="924" ht="15" customHeight="1" x14ac:dyDescent="0.3"/>
    <row r="925" ht="15" customHeight="1" x14ac:dyDescent="0.3"/>
    <row r="926" ht="15" customHeight="1" x14ac:dyDescent="0.3"/>
    <row r="927" ht="15" customHeight="1" x14ac:dyDescent="0.3"/>
    <row r="928" ht="15" customHeight="1" x14ac:dyDescent="0.3"/>
    <row r="929" ht="15" customHeight="1" x14ac:dyDescent="0.3"/>
    <row r="930" ht="15" customHeight="1" x14ac:dyDescent="0.3"/>
    <row r="931" ht="15" customHeight="1" x14ac:dyDescent="0.3"/>
    <row r="932" ht="15" customHeight="1" x14ac:dyDescent="0.3"/>
    <row r="933" ht="15" customHeight="1" x14ac:dyDescent="0.3"/>
    <row r="934" ht="15" customHeight="1" x14ac:dyDescent="0.3"/>
    <row r="935" ht="15" customHeight="1" x14ac:dyDescent="0.3"/>
    <row r="936" ht="15" customHeight="1" x14ac:dyDescent="0.3"/>
    <row r="937" ht="15" customHeight="1" x14ac:dyDescent="0.3"/>
    <row r="938" ht="15" customHeight="1" x14ac:dyDescent="0.3"/>
    <row r="939" ht="15" customHeight="1" x14ac:dyDescent="0.3"/>
    <row r="940" ht="15" customHeight="1" x14ac:dyDescent="0.3"/>
    <row r="941" ht="15" customHeight="1" x14ac:dyDescent="0.3"/>
    <row r="942" ht="15" customHeight="1" x14ac:dyDescent="0.3"/>
    <row r="943" ht="15" customHeight="1" x14ac:dyDescent="0.3"/>
    <row r="944" ht="15" customHeight="1" x14ac:dyDescent="0.3"/>
    <row r="945" ht="15" customHeight="1" x14ac:dyDescent="0.3"/>
    <row r="946" ht="15" customHeight="1" x14ac:dyDescent="0.3"/>
    <row r="947" ht="15" customHeight="1" x14ac:dyDescent="0.3"/>
    <row r="948" ht="15" customHeight="1" x14ac:dyDescent="0.3"/>
    <row r="949" ht="15" customHeight="1" x14ac:dyDescent="0.3"/>
    <row r="950" ht="15" customHeight="1" x14ac:dyDescent="0.3"/>
    <row r="951" ht="15" customHeight="1" x14ac:dyDescent="0.3"/>
    <row r="952" ht="15" customHeight="1" x14ac:dyDescent="0.3"/>
    <row r="953" ht="15" customHeight="1" x14ac:dyDescent="0.3"/>
    <row r="954" ht="15" customHeight="1" x14ac:dyDescent="0.3"/>
    <row r="955" ht="15" customHeight="1" x14ac:dyDescent="0.3"/>
    <row r="956" ht="15" customHeight="1" x14ac:dyDescent="0.3"/>
    <row r="957" ht="15" customHeight="1" x14ac:dyDescent="0.3"/>
    <row r="958" ht="15" customHeight="1" x14ac:dyDescent="0.3"/>
    <row r="959" ht="15" customHeight="1" x14ac:dyDescent="0.3"/>
    <row r="960" ht="15" customHeight="1" x14ac:dyDescent="0.3"/>
    <row r="961" ht="15" customHeight="1" x14ac:dyDescent="0.3"/>
    <row r="962" ht="15" customHeight="1" x14ac:dyDescent="0.3"/>
    <row r="963" ht="15" customHeight="1" x14ac:dyDescent="0.3"/>
    <row r="964" ht="15" customHeight="1" x14ac:dyDescent="0.3"/>
    <row r="965" ht="15" customHeight="1" x14ac:dyDescent="0.3"/>
    <row r="966" ht="15" customHeight="1" x14ac:dyDescent="0.3"/>
    <row r="967" ht="15" customHeight="1" x14ac:dyDescent="0.3"/>
    <row r="968" ht="15" customHeight="1" x14ac:dyDescent="0.3"/>
    <row r="969" ht="15" customHeight="1" x14ac:dyDescent="0.3"/>
    <row r="970" ht="15" customHeight="1" x14ac:dyDescent="0.3"/>
    <row r="971" ht="15" customHeight="1" x14ac:dyDescent="0.3"/>
    <row r="972" ht="15" customHeight="1" x14ac:dyDescent="0.3"/>
    <row r="973" ht="15" customHeight="1" x14ac:dyDescent="0.3"/>
    <row r="974" ht="15" customHeight="1" x14ac:dyDescent="0.3"/>
    <row r="975" ht="15" customHeight="1" x14ac:dyDescent="0.3"/>
    <row r="976" ht="15" customHeight="1" x14ac:dyDescent="0.3"/>
    <row r="977" ht="15" customHeight="1" x14ac:dyDescent="0.3"/>
    <row r="978" ht="15" customHeight="1" x14ac:dyDescent="0.3"/>
    <row r="979" ht="15" customHeight="1" x14ac:dyDescent="0.3"/>
    <row r="980" ht="15" customHeight="1" x14ac:dyDescent="0.3"/>
    <row r="981" ht="15" customHeight="1" x14ac:dyDescent="0.3"/>
    <row r="982" ht="15" customHeight="1" x14ac:dyDescent="0.3"/>
    <row r="983" ht="15" customHeight="1" x14ac:dyDescent="0.3"/>
    <row r="984" ht="15" customHeight="1" x14ac:dyDescent="0.3"/>
    <row r="985" ht="15" customHeight="1" x14ac:dyDescent="0.3"/>
    <row r="986" ht="15" customHeight="1" x14ac:dyDescent="0.3"/>
    <row r="987" ht="15" customHeight="1" x14ac:dyDescent="0.3"/>
    <row r="988" ht="15" customHeight="1" x14ac:dyDescent="0.3"/>
    <row r="989" ht="15" customHeight="1" x14ac:dyDescent="0.3"/>
    <row r="990" ht="15" customHeight="1" x14ac:dyDescent="0.3"/>
    <row r="991" ht="15" customHeight="1" x14ac:dyDescent="0.3"/>
    <row r="992" ht="15" customHeight="1" x14ac:dyDescent="0.3"/>
    <row r="993" ht="15" customHeight="1" x14ac:dyDescent="0.3"/>
    <row r="994" ht="15" customHeight="1" x14ac:dyDescent="0.3"/>
    <row r="995" ht="15" customHeight="1" x14ac:dyDescent="0.3"/>
    <row r="996" ht="15" customHeight="1" x14ac:dyDescent="0.3"/>
    <row r="997" ht="15" customHeight="1" x14ac:dyDescent="0.3"/>
    <row r="998" ht="15" customHeight="1" x14ac:dyDescent="0.3"/>
    <row r="999" ht="15" customHeight="1" x14ac:dyDescent="0.3"/>
    <row r="1000" ht="15" customHeight="1" x14ac:dyDescent="0.3"/>
    <row r="1001" ht="15" customHeight="1" x14ac:dyDescent="0.3"/>
    <row r="1002" ht="15" customHeight="1" x14ac:dyDescent="0.3"/>
    <row r="1003" ht="15" customHeight="1" x14ac:dyDescent="0.3"/>
    <row r="1004" ht="15" customHeight="1" x14ac:dyDescent="0.3"/>
    <row r="1005" ht="15" customHeight="1" x14ac:dyDescent="0.3"/>
    <row r="1006" ht="15" customHeight="1" x14ac:dyDescent="0.3"/>
    <row r="1007" ht="15" customHeight="1" x14ac:dyDescent="0.3"/>
    <row r="1008" ht="15" customHeight="1" x14ac:dyDescent="0.3"/>
    <row r="1009" ht="15" customHeight="1" x14ac:dyDescent="0.3"/>
    <row r="1010" ht="15" customHeight="1" x14ac:dyDescent="0.3"/>
    <row r="1011" ht="15" customHeight="1" x14ac:dyDescent="0.3"/>
    <row r="1012" ht="15" customHeight="1" x14ac:dyDescent="0.3"/>
    <row r="1013" ht="15" customHeight="1" x14ac:dyDescent="0.3"/>
    <row r="1014" ht="15" customHeight="1" x14ac:dyDescent="0.3"/>
    <row r="1015" ht="15" customHeight="1" x14ac:dyDescent="0.3"/>
    <row r="1016" ht="15" customHeight="1" x14ac:dyDescent="0.3"/>
    <row r="1017" ht="15" customHeight="1" x14ac:dyDescent="0.3"/>
    <row r="1018" ht="15" customHeight="1" x14ac:dyDescent="0.3"/>
    <row r="1019" ht="15" customHeight="1" x14ac:dyDescent="0.3"/>
    <row r="1020" ht="15" customHeight="1" x14ac:dyDescent="0.3"/>
    <row r="1021" ht="15" customHeight="1" x14ac:dyDescent="0.3"/>
    <row r="1022" ht="15" customHeight="1" x14ac:dyDescent="0.3"/>
    <row r="1023" ht="15" customHeight="1" x14ac:dyDescent="0.3"/>
    <row r="1024" ht="15" customHeight="1" x14ac:dyDescent="0.3"/>
    <row r="1025" ht="15" customHeight="1" x14ac:dyDescent="0.3"/>
    <row r="1026" ht="15" customHeight="1" x14ac:dyDescent="0.3"/>
    <row r="1027" ht="15" customHeight="1" x14ac:dyDescent="0.3"/>
    <row r="1028" ht="15" customHeight="1" x14ac:dyDescent="0.3"/>
    <row r="1029" ht="15" customHeight="1" x14ac:dyDescent="0.3"/>
    <row r="1030" ht="15" customHeight="1" x14ac:dyDescent="0.3"/>
    <row r="1031" ht="15" customHeight="1" x14ac:dyDescent="0.3"/>
    <row r="1032" ht="15" customHeight="1" x14ac:dyDescent="0.3"/>
    <row r="1033" ht="15" customHeight="1" x14ac:dyDescent="0.3"/>
    <row r="1034" ht="15" customHeight="1" x14ac:dyDescent="0.3"/>
    <row r="1035" ht="15" customHeight="1" x14ac:dyDescent="0.3"/>
    <row r="1036" ht="15" customHeight="1" x14ac:dyDescent="0.3"/>
    <row r="1037" ht="15" customHeight="1" x14ac:dyDescent="0.3"/>
    <row r="1038" ht="15" customHeight="1" x14ac:dyDescent="0.3"/>
    <row r="1039" ht="15" customHeight="1" x14ac:dyDescent="0.3"/>
    <row r="1040" ht="15" customHeight="1" x14ac:dyDescent="0.3"/>
    <row r="1041" ht="15" customHeight="1" x14ac:dyDescent="0.3"/>
    <row r="1042" ht="15" customHeight="1" x14ac:dyDescent="0.3"/>
    <row r="1043" ht="15" customHeight="1" x14ac:dyDescent="0.3"/>
    <row r="1044" ht="15" customHeight="1" x14ac:dyDescent="0.3"/>
    <row r="1045" ht="15" customHeight="1" x14ac:dyDescent="0.3"/>
    <row r="1046" ht="15" customHeight="1" x14ac:dyDescent="0.3"/>
    <row r="1047" ht="15" customHeight="1" x14ac:dyDescent="0.3"/>
    <row r="1048" ht="15" customHeight="1" x14ac:dyDescent="0.3"/>
    <row r="1049" ht="15" customHeight="1" x14ac:dyDescent="0.3"/>
    <row r="1050" ht="15" customHeight="1" x14ac:dyDescent="0.3"/>
    <row r="1051" ht="15" customHeight="1" x14ac:dyDescent="0.3"/>
    <row r="1052" ht="15" customHeight="1" x14ac:dyDescent="0.3"/>
    <row r="1053" ht="15" customHeight="1" x14ac:dyDescent="0.3"/>
    <row r="1054" ht="15" customHeight="1" x14ac:dyDescent="0.3"/>
    <row r="1055" ht="15" customHeight="1" x14ac:dyDescent="0.3"/>
    <row r="1056" ht="15" customHeight="1" x14ac:dyDescent="0.3"/>
    <row r="1057" ht="15" customHeight="1" x14ac:dyDescent="0.3"/>
    <row r="1058" ht="15" customHeight="1" x14ac:dyDescent="0.3"/>
    <row r="1059" ht="15" customHeight="1" x14ac:dyDescent="0.3"/>
    <row r="1060" ht="15" customHeight="1" x14ac:dyDescent="0.3"/>
    <row r="1061" ht="15" customHeight="1" x14ac:dyDescent="0.3"/>
    <row r="1062" ht="15" customHeight="1" x14ac:dyDescent="0.3"/>
    <row r="1063" ht="15" customHeight="1" x14ac:dyDescent="0.3"/>
    <row r="1064" ht="15" customHeight="1" x14ac:dyDescent="0.3"/>
    <row r="1065" ht="15" customHeight="1" x14ac:dyDescent="0.3"/>
    <row r="1066" ht="15" customHeight="1" x14ac:dyDescent="0.3"/>
    <row r="1067" ht="15" customHeight="1" x14ac:dyDescent="0.3"/>
    <row r="1068" ht="15" customHeight="1" x14ac:dyDescent="0.3"/>
    <row r="1069" ht="15" customHeight="1" x14ac:dyDescent="0.3"/>
    <row r="1070" ht="15" customHeight="1" x14ac:dyDescent="0.3"/>
    <row r="1071" ht="15" customHeight="1" x14ac:dyDescent="0.3"/>
    <row r="1072" ht="15" customHeight="1" x14ac:dyDescent="0.3"/>
    <row r="1073" ht="15" customHeight="1" x14ac:dyDescent="0.3"/>
    <row r="1074" ht="15" customHeight="1" x14ac:dyDescent="0.3"/>
    <row r="1075" ht="15" customHeight="1" x14ac:dyDescent="0.3"/>
    <row r="1076" ht="15" customHeight="1" x14ac:dyDescent="0.3"/>
    <row r="1077" ht="15" customHeight="1" x14ac:dyDescent="0.3"/>
    <row r="1078" ht="15" customHeight="1" x14ac:dyDescent="0.3"/>
    <row r="1079" ht="15" customHeight="1" x14ac:dyDescent="0.3"/>
    <row r="1080" ht="15" customHeight="1" x14ac:dyDescent="0.3"/>
    <row r="1081" ht="15" customHeight="1" x14ac:dyDescent="0.3"/>
    <row r="1082" ht="15" customHeight="1" x14ac:dyDescent="0.3"/>
    <row r="1083" ht="15" customHeight="1" x14ac:dyDescent="0.3"/>
    <row r="1084" ht="15" customHeight="1" x14ac:dyDescent="0.3"/>
    <row r="1085" ht="15" customHeight="1" x14ac:dyDescent="0.3"/>
    <row r="1086" ht="15" customHeight="1" x14ac:dyDescent="0.3"/>
    <row r="1087" ht="15" customHeight="1" x14ac:dyDescent="0.3"/>
    <row r="1088" ht="15" customHeight="1" x14ac:dyDescent="0.3"/>
    <row r="1089" ht="15" customHeight="1" x14ac:dyDescent="0.3"/>
    <row r="1090" ht="15" customHeight="1" x14ac:dyDescent="0.3"/>
    <row r="1091" ht="15" customHeight="1" x14ac:dyDescent="0.3"/>
    <row r="1092" ht="15" customHeight="1" x14ac:dyDescent="0.3"/>
    <row r="1093" ht="15" customHeight="1" x14ac:dyDescent="0.3"/>
    <row r="1094" ht="15" customHeight="1" x14ac:dyDescent="0.3"/>
    <row r="1095" ht="15" customHeight="1" x14ac:dyDescent="0.3"/>
    <row r="1096" ht="15" customHeight="1" x14ac:dyDescent="0.3"/>
    <row r="1097" ht="15" customHeight="1" x14ac:dyDescent="0.3"/>
    <row r="1098" ht="15" customHeight="1" x14ac:dyDescent="0.3"/>
    <row r="1099" ht="15" customHeight="1" x14ac:dyDescent="0.3"/>
    <row r="1100" ht="15" customHeight="1" x14ac:dyDescent="0.3"/>
    <row r="1101" ht="15" customHeight="1" x14ac:dyDescent="0.3"/>
    <row r="1102" ht="15" customHeight="1" x14ac:dyDescent="0.3"/>
    <row r="1103" ht="15" customHeight="1" x14ac:dyDescent="0.3"/>
    <row r="1104" ht="15" customHeight="1" x14ac:dyDescent="0.3"/>
    <row r="1105" ht="15" customHeight="1" x14ac:dyDescent="0.3"/>
    <row r="1106" ht="15" customHeight="1" x14ac:dyDescent="0.3"/>
    <row r="1107" ht="15" customHeight="1" x14ac:dyDescent="0.3"/>
    <row r="1108" ht="15" customHeight="1" x14ac:dyDescent="0.3"/>
    <row r="1109" ht="15" customHeight="1" x14ac:dyDescent="0.3"/>
    <row r="1110" ht="15" customHeight="1" x14ac:dyDescent="0.3"/>
    <row r="1111" ht="15" customHeight="1" x14ac:dyDescent="0.3"/>
    <row r="1112" ht="15" customHeight="1" x14ac:dyDescent="0.3"/>
    <row r="1113" ht="15" customHeight="1" x14ac:dyDescent="0.3"/>
    <row r="1114" ht="15" customHeight="1" x14ac:dyDescent="0.3"/>
    <row r="1115" ht="15" customHeight="1" x14ac:dyDescent="0.3"/>
    <row r="1116" ht="15" customHeight="1" x14ac:dyDescent="0.3"/>
    <row r="1117" ht="15" customHeight="1" x14ac:dyDescent="0.3"/>
    <row r="1118" ht="15" customHeight="1" x14ac:dyDescent="0.3"/>
    <row r="1119" ht="15" customHeight="1" x14ac:dyDescent="0.3"/>
    <row r="1120" ht="15" customHeight="1" x14ac:dyDescent="0.3"/>
    <row r="1121" ht="15" customHeight="1" x14ac:dyDescent="0.3"/>
    <row r="1122" ht="15" customHeight="1" x14ac:dyDescent="0.3"/>
    <row r="1123" ht="15" customHeight="1" x14ac:dyDescent="0.3"/>
    <row r="1124" ht="15" customHeight="1" x14ac:dyDescent="0.3"/>
    <row r="1125" ht="15" customHeight="1" x14ac:dyDescent="0.3"/>
    <row r="1126" ht="15" customHeight="1" x14ac:dyDescent="0.3"/>
    <row r="1127" ht="15" customHeight="1" x14ac:dyDescent="0.3"/>
    <row r="1128" ht="15" customHeight="1" x14ac:dyDescent="0.3"/>
    <row r="1129" ht="15" customHeight="1" x14ac:dyDescent="0.3"/>
    <row r="1130" ht="15" customHeight="1" x14ac:dyDescent="0.3"/>
    <row r="1131" ht="15" customHeight="1" x14ac:dyDescent="0.3"/>
    <row r="1132" ht="15" customHeight="1" x14ac:dyDescent="0.3"/>
    <row r="1133" ht="15" customHeight="1" x14ac:dyDescent="0.3"/>
    <row r="1134" ht="15" customHeight="1" x14ac:dyDescent="0.3"/>
    <row r="1135" ht="15" customHeight="1" x14ac:dyDescent="0.3"/>
    <row r="1136" ht="15" customHeight="1" x14ac:dyDescent="0.3"/>
    <row r="1137" ht="15" customHeight="1" x14ac:dyDescent="0.3"/>
    <row r="1138" ht="15" customHeight="1" x14ac:dyDescent="0.3"/>
    <row r="1139" ht="15" customHeight="1" x14ac:dyDescent="0.3"/>
    <row r="1140" ht="15" customHeight="1" x14ac:dyDescent="0.3"/>
    <row r="1141" ht="15" customHeight="1" x14ac:dyDescent="0.3"/>
    <row r="1142" ht="15" customHeight="1" x14ac:dyDescent="0.3"/>
    <row r="1143" ht="15" customHeight="1" x14ac:dyDescent="0.3"/>
    <row r="1144" ht="15" customHeight="1" x14ac:dyDescent="0.3"/>
    <row r="1145" ht="15" customHeight="1" x14ac:dyDescent="0.3"/>
    <row r="1146" ht="15" customHeight="1" x14ac:dyDescent="0.3"/>
    <row r="1147" ht="15" customHeight="1" x14ac:dyDescent="0.3"/>
    <row r="1148" ht="15" customHeight="1" x14ac:dyDescent="0.3"/>
    <row r="1149" ht="15" customHeight="1" x14ac:dyDescent="0.3"/>
    <row r="1150" ht="15" customHeight="1" x14ac:dyDescent="0.3"/>
    <row r="1151" ht="15" customHeight="1" x14ac:dyDescent="0.3"/>
    <row r="1152" ht="15" customHeight="1" x14ac:dyDescent="0.3"/>
    <row r="1153" ht="15" customHeight="1" x14ac:dyDescent="0.3"/>
    <row r="1154" ht="15" customHeight="1" x14ac:dyDescent="0.3"/>
    <row r="1155" ht="15" customHeight="1" x14ac:dyDescent="0.3"/>
    <row r="1156" ht="15" customHeight="1" x14ac:dyDescent="0.3"/>
    <row r="1157" ht="15" customHeight="1" x14ac:dyDescent="0.3"/>
    <row r="1158" ht="15" customHeight="1" x14ac:dyDescent="0.3"/>
    <row r="1159" ht="15" customHeight="1" x14ac:dyDescent="0.3"/>
    <row r="1160" ht="15" customHeight="1" x14ac:dyDescent="0.3"/>
    <row r="1161" ht="15" customHeight="1" x14ac:dyDescent="0.3"/>
    <row r="1162" ht="15" customHeight="1" x14ac:dyDescent="0.3"/>
    <row r="1163" ht="15" customHeight="1" x14ac:dyDescent="0.3"/>
    <row r="1164" ht="15" customHeight="1" x14ac:dyDescent="0.3"/>
    <row r="1165" ht="15" customHeight="1" x14ac:dyDescent="0.3"/>
    <row r="1166" ht="15" customHeight="1" x14ac:dyDescent="0.3"/>
    <row r="1167" ht="15" customHeight="1" x14ac:dyDescent="0.3"/>
    <row r="1168" ht="15" customHeight="1" x14ac:dyDescent="0.3"/>
    <row r="1169" ht="15" customHeight="1" x14ac:dyDescent="0.3"/>
    <row r="1170" ht="15" customHeight="1" x14ac:dyDescent="0.3"/>
    <row r="1171" ht="15" customHeight="1" x14ac:dyDescent="0.3"/>
    <row r="1172" ht="15" customHeight="1" x14ac:dyDescent="0.3"/>
    <row r="1173" ht="15" customHeight="1" x14ac:dyDescent="0.3"/>
    <row r="1174" ht="15" customHeight="1" x14ac:dyDescent="0.3"/>
    <row r="1175" ht="15" customHeight="1" x14ac:dyDescent="0.3"/>
    <row r="1176" ht="15" customHeight="1" x14ac:dyDescent="0.3"/>
    <row r="1177" ht="15" customHeight="1" x14ac:dyDescent="0.3"/>
    <row r="1178" ht="15" customHeight="1" x14ac:dyDescent="0.3"/>
    <row r="1179" ht="15" customHeight="1" x14ac:dyDescent="0.3"/>
    <row r="1180" ht="15" customHeight="1" x14ac:dyDescent="0.3"/>
    <row r="1181" ht="15" customHeight="1" x14ac:dyDescent="0.3"/>
    <row r="1182" ht="15" customHeight="1" x14ac:dyDescent="0.3"/>
    <row r="1183" ht="15" customHeight="1" x14ac:dyDescent="0.3"/>
    <row r="1184" ht="15" customHeight="1" x14ac:dyDescent="0.3"/>
    <row r="1185" ht="15" customHeight="1" x14ac:dyDescent="0.3"/>
    <row r="1186" ht="15" customHeight="1" x14ac:dyDescent="0.3"/>
    <row r="1187" ht="15" customHeight="1" x14ac:dyDescent="0.3"/>
    <row r="1188" ht="15" customHeight="1" x14ac:dyDescent="0.3"/>
    <row r="1189" ht="15" customHeight="1" x14ac:dyDescent="0.3"/>
    <row r="1190" ht="15" customHeight="1" x14ac:dyDescent="0.3"/>
    <row r="1191" ht="15" customHeight="1" x14ac:dyDescent="0.3"/>
    <row r="1192" ht="15" customHeight="1" x14ac:dyDescent="0.3"/>
    <row r="1193" ht="15" customHeight="1" x14ac:dyDescent="0.3"/>
    <row r="1194" ht="15" customHeight="1" x14ac:dyDescent="0.3"/>
    <row r="1195" ht="15" customHeight="1" x14ac:dyDescent="0.3"/>
    <row r="1196" ht="15" customHeight="1" x14ac:dyDescent="0.3"/>
    <row r="1197" ht="15" customHeight="1" x14ac:dyDescent="0.3"/>
    <row r="1198" ht="15" customHeight="1" x14ac:dyDescent="0.3"/>
    <row r="1199" ht="15" customHeight="1" x14ac:dyDescent="0.3"/>
    <row r="1200" ht="15" customHeight="1" x14ac:dyDescent="0.3"/>
    <row r="1201" ht="15" customHeight="1" x14ac:dyDescent="0.3"/>
    <row r="1202" ht="15" customHeight="1" x14ac:dyDescent="0.3"/>
    <row r="1203" ht="15" customHeight="1" x14ac:dyDescent="0.3"/>
    <row r="1204" ht="15" customHeight="1" x14ac:dyDescent="0.3"/>
    <row r="1205" ht="15" customHeight="1" x14ac:dyDescent="0.3"/>
    <row r="1206" ht="15" customHeight="1" x14ac:dyDescent="0.3"/>
    <row r="1207" ht="15" customHeight="1" x14ac:dyDescent="0.3"/>
    <row r="1208" ht="15" customHeight="1" x14ac:dyDescent="0.3"/>
    <row r="1209" ht="15" customHeight="1" x14ac:dyDescent="0.3"/>
    <row r="1210" ht="15" customHeight="1" x14ac:dyDescent="0.3"/>
    <row r="1211" ht="15" customHeight="1" x14ac:dyDescent="0.3"/>
    <row r="1212" ht="15" customHeight="1" x14ac:dyDescent="0.3"/>
    <row r="1213" ht="15" customHeight="1" x14ac:dyDescent="0.3"/>
    <row r="1214" ht="15" customHeight="1" x14ac:dyDescent="0.3"/>
    <row r="1215" ht="15" customHeight="1" x14ac:dyDescent="0.3"/>
    <row r="1216" ht="15" customHeight="1" x14ac:dyDescent="0.3"/>
    <row r="1217" ht="15" customHeight="1" x14ac:dyDescent="0.3"/>
    <row r="1218" ht="15" customHeight="1" x14ac:dyDescent="0.3"/>
    <row r="1219" ht="15" customHeight="1" x14ac:dyDescent="0.3"/>
    <row r="1220" ht="15" customHeight="1" x14ac:dyDescent="0.3"/>
    <row r="1221" ht="15" customHeight="1" x14ac:dyDescent="0.3"/>
    <row r="1222" ht="15" customHeight="1" x14ac:dyDescent="0.3"/>
    <row r="1223" ht="15" customHeight="1" x14ac:dyDescent="0.3"/>
    <row r="1224" ht="15" customHeight="1" x14ac:dyDescent="0.3"/>
    <row r="1225" ht="15" customHeight="1" x14ac:dyDescent="0.3"/>
    <row r="1226" ht="15" customHeight="1" x14ac:dyDescent="0.3"/>
    <row r="1227" ht="15" customHeight="1" x14ac:dyDescent="0.3"/>
    <row r="1228" ht="15" customHeight="1" x14ac:dyDescent="0.3"/>
    <row r="1229" ht="15" customHeight="1" x14ac:dyDescent="0.3"/>
    <row r="1230" ht="15" customHeight="1" x14ac:dyDescent="0.3"/>
    <row r="1231" ht="15" customHeight="1" x14ac:dyDescent="0.3"/>
    <row r="1232" ht="15" customHeight="1" x14ac:dyDescent="0.3"/>
    <row r="1233" ht="15" customHeight="1" x14ac:dyDescent="0.3"/>
    <row r="1234" ht="15" customHeight="1" x14ac:dyDescent="0.3"/>
    <row r="1235" ht="15" customHeight="1" x14ac:dyDescent="0.3"/>
    <row r="1236" ht="15" customHeight="1" x14ac:dyDescent="0.3"/>
    <row r="1237" ht="15" customHeight="1" x14ac:dyDescent="0.3"/>
    <row r="1238" ht="15" customHeight="1" x14ac:dyDescent="0.3"/>
    <row r="1239" ht="15" customHeight="1" x14ac:dyDescent="0.3"/>
    <row r="1240" ht="15" customHeight="1" x14ac:dyDescent="0.3"/>
    <row r="1241" ht="15" customHeight="1" x14ac:dyDescent="0.3"/>
    <row r="1242" ht="15" customHeight="1" x14ac:dyDescent="0.3"/>
    <row r="1243" ht="15" customHeight="1" x14ac:dyDescent="0.3"/>
    <row r="1244" ht="15" customHeight="1" x14ac:dyDescent="0.3"/>
    <row r="1245" ht="15" customHeight="1" x14ac:dyDescent="0.3"/>
    <row r="1246" ht="15" customHeight="1" x14ac:dyDescent="0.3"/>
    <row r="1247" ht="15" customHeight="1" x14ac:dyDescent="0.3"/>
    <row r="1248" ht="15" customHeight="1" x14ac:dyDescent="0.3"/>
    <row r="1249" ht="15" customHeight="1" x14ac:dyDescent="0.3"/>
    <row r="1250" ht="15" customHeight="1" x14ac:dyDescent="0.3"/>
    <row r="1251" ht="15" customHeight="1" x14ac:dyDescent="0.3"/>
    <row r="1252" ht="15" customHeight="1" x14ac:dyDescent="0.3"/>
    <row r="1253" ht="15" customHeight="1" x14ac:dyDescent="0.3"/>
    <row r="1254" ht="15" customHeight="1" x14ac:dyDescent="0.3"/>
    <row r="1255" ht="15" customHeight="1" x14ac:dyDescent="0.3"/>
    <row r="1256" ht="15" customHeight="1" x14ac:dyDescent="0.3"/>
    <row r="1257" ht="15" customHeight="1" x14ac:dyDescent="0.3"/>
    <row r="1258" ht="15" customHeight="1" x14ac:dyDescent="0.3"/>
    <row r="1259" ht="15" customHeight="1" x14ac:dyDescent="0.3"/>
    <row r="1260" ht="15" customHeight="1" x14ac:dyDescent="0.3"/>
    <row r="1261" ht="15" customHeight="1" x14ac:dyDescent="0.3"/>
    <row r="1262" ht="15" customHeight="1" x14ac:dyDescent="0.3"/>
    <row r="1263" ht="15" customHeight="1" x14ac:dyDescent="0.3"/>
    <row r="1264" ht="15" customHeight="1" x14ac:dyDescent="0.3"/>
    <row r="1265" ht="15" customHeight="1" x14ac:dyDescent="0.3"/>
    <row r="1266" ht="15" customHeight="1" x14ac:dyDescent="0.3"/>
    <row r="1267" ht="15" customHeight="1" x14ac:dyDescent="0.3"/>
    <row r="1268" ht="15" customHeight="1" x14ac:dyDescent="0.3"/>
    <row r="1269" ht="15" customHeight="1" x14ac:dyDescent="0.3"/>
    <row r="1270" ht="15" customHeight="1" x14ac:dyDescent="0.3"/>
    <row r="1271" ht="15" customHeight="1" x14ac:dyDescent="0.3"/>
    <row r="1272" ht="15" customHeight="1" x14ac:dyDescent="0.3"/>
    <row r="1273" ht="15" customHeight="1" x14ac:dyDescent="0.3"/>
    <row r="1274" ht="15" customHeight="1" x14ac:dyDescent="0.3"/>
    <row r="1275" ht="15" customHeight="1" x14ac:dyDescent="0.3"/>
    <row r="1276" ht="15" customHeight="1" x14ac:dyDescent="0.3"/>
    <row r="1277" ht="15" customHeight="1" x14ac:dyDescent="0.3"/>
    <row r="1278" ht="15" customHeight="1" x14ac:dyDescent="0.3"/>
    <row r="1279" ht="15" customHeight="1" x14ac:dyDescent="0.3"/>
    <row r="1280" ht="15" customHeight="1" x14ac:dyDescent="0.3"/>
    <row r="1281" ht="15" customHeight="1" x14ac:dyDescent="0.3"/>
    <row r="1282" ht="15" customHeight="1" x14ac:dyDescent="0.3"/>
    <row r="1283" ht="15" customHeight="1" x14ac:dyDescent="0.3"/>
    <row r="1284" ht="15" customHeight="1" x14ac:dyDescent="0.3"/>
    <row r="1285" ht="15" customHeight="1" x14ac:dyDescent="0.3"/>
    <row r="1286" ht="15" customHeight="1" x14ac:dyDescent="0.3"/>
    <row r="1287" ht="15" customHeight="1" x14ac:dyDescent="0.3"/>
    <row r="1288" ht="15" customHeight="1" x14ac:dyDescent="0.3"/>
    <row r="1289" ht="15" customHeight="1" x14ac:dyDescent="0.3"/>
    <row r="1290" ht="15" customHeight="1" x14ac:dyDescent="0.3"/>
    <row r="1291" ht="15" customHeight="1" x14ac:dyDescent="0.3"/>
    <row r="1292" ht="15" customHeight="1" x14ac:dyDescent="0.3"/>
    <row r="1293" ht="15" customHeight="1" x14ac:dyDescent="0.3"/>
    <row r="1294" ht="15" customHeight="1" x14ac:dyDescent="0.3"/>
    <row r="1295" ht="15" customHeight="1" x14ac:dyDescent="0.3"/>
    <row r="1296" ht="15" customHeight="1" x14ac:dyDescent="0.3"/>
    <row r="1297" ht="15" customHeight="1" x14ac:dyDescent="0.3"/>
    <row r="1298" ht="15" customHeight="1" x14ac:dyDescent="0.3"/>
    <row r="1299" ht="15" customHeight="1" x14ac:dyDescent="0.3"/>
    <row r="1300" ht="15" customHeight="1" x14ac:dyDescent="0.3"/>
    <row r="1301" ht="15" customHeight="1" x14ac:dyDescent="0.3"/>
    <row r="1302" ht="15" customHeight="1" x14ac:dyDescent="0.3"/>
    <row r="1303" ht="15" customHeight="1" x14ac:dyDescent="0.3"/>
    <row r="1304" ht="15" customHeight="1" x14ac:dyDescent="0.3"/>
    <row r="1305" ht="15" customHeight="1" x14ac:dyDescent="0.3"/>
    <row r="1306" ht="15" customHeight="1" x14ac:dyDescent="0.3"/>
    <row r="1307" ht="15" customHeight="1" x14ac:dyDescent="0.3"/>
    <row r="1308" ht="15" customHeight="1" x14ac:dyDescent="0.3"/>
    <row r="1309" ht="15" customHeight="1" x14ac:dyDescent="0.3"/>
    <row r="1310" ht="15" customHeight="1" x14ac:dyDescent="0.3"/>
    <row r="1311" ht="15" customHeight="1" x14ac:dyDescent="0.3"/>
    <row r="1312" ht="15" customHeight="1" x14ac:dyDescent="0.3"/>
    <row r="1313" ht="15" customHeight="1" x14ac:dyDescent="0.3"/>
    <row r="1314" ht="15" customHeight="1" x14ac:dyDescent="0.3"/>
    <row r="1315" ht="15" customHeight="1" x14ac:dyDescent="0.3"/>
    <row r="1316" ht="15" customHeight="1" x14ac:dyDescent="0.3"/>
    <row r="1317" ht="15" customHeight="1" x14ac:dyDescent="0.3"/>
    <row r="1318" ht="15" customHeight="1" x14ac:dyDescent="0.3"/>
    <row r="1319" ht="15" customHeight="1" x14ac:dyDescent="0.3"/>
    <row r="1320" ht="15" customHeight="1" x14ac:dyDescent="0.3"/>
    <row r="1321" ht="15" customHeight="1" x14ac:dyDescent="0.3"/>
    <row r="1322" ht="15" customHeight="1" x14ac:dyDescent="0.3"/>
    <row r="1323" ht="15" customHeight="1" x14ac:dyDescent="0.3"/>
    <row r="1324" ht="15" customHeight="1" x14ac:dyDescent="0.3"/>
    <row r="1325" ht="15" customHeight="1" x14ac:dyDescent="0.3"/>
    <row r="1326" ht="15" customHeight="1" x14ac:dyDescent="0.3"/>
    <row r="1327" ht="15" customHeight="1" x14ac:dyDescent="0.3"/>
    <row r="1328" ht="15" customHeight="1" x14ac:dyDescent="0.3"/>
    <row r="1329" ht="15" customHeight="1" x14ac:dyDescent="0.3"/>
    <row r="1330" ht="15" customHeight="1" x14ac:dyDescent="0.3"/>
    <row r="1331" ht="15" customHeight="1" x14ac:dyDescent="0.3"/>
    <row r="1332" ht="15" customHeight="1" x14ac:dyDescent="0.3"/>
    <row r="1333" ht="15" customHeight="1" x14ac:dyDescent="0.3"/>
    <row r="1334" ht="15" customHeight="1" x14ac:dyDescent="0.3"/>
    <row r="1335" ht="15" customHeight="1" x14ac:dyDescent="0.3"/>
    <row r="1336" ht="15" customHeight="1" x14ac:dyDescent="0.3"/>
    <row r="1337" ht="15" customHeight="1" x14ac:dyDescent="0.3"/>
    <row r="1338" ht="15" customHeight="1" x14ac:dyDescent="0.3"/>
    <row r="1339" ht="15" customHeight="1" x14ac:dyDescent="0.3"/>
    <row r="1340" ht="15" customHeight="1" x14ac:dyDescent="0.3"/>
    <row r="1341" ht="15" customHeight="1" x14ac:dyDescent="0.3"/>
    <row r="1342" ht="15" customHeight="1" x14ac:dyDescent="0.3"/>
    <row r="1343" ht="15" customHeight="1" x14ac:dyDescent="0.3"/>
    <row r="1344" ht="15" customHeight="1" x14ac:dyDescent="0.3"/>
    <row r="1345" ht="15" customHeight="1" x14ac:dyDescent="0.3"/>
    <row r="1346" ht="15" customHeight="1" x14ac:dyDescent="0.3"/>
    <row r="1347" ht="15" customHeight="1" x14ac:dyDescent="0.3"/>
    <row r="1348" ht="15" customHeight="1" x14ac:dyDescent="0.3"/>
    <row r="1349" ht="15" customHeight="1" x14ac:dyDescent="0.3"/>
    <row r="1350" ht="15" customHeight="1" x14ac:dyDescent="0.3"/>
    <row r="1351" ht="15" customHeight="1" x14ac:dyDescent="0.3"/>
    <row r="1352" ht="15" customHeight="1" x14ac:dyDescent="0.3"/>
    <row r="1353" ht="15" customHeight="1" x14ac:dyDescent="0.3"/>
    <row r="1354" ht="15" customHeight="1" x14ac:dyDescent="0.3"/>
    <row r="1355" ht="15" customHeight="1" x14ac:dyDescent="0.3"/>
    <row r="1356" ht="15" customHeight="1" x14ac:dyDescent="0.3"/>
    <row r="1357" ht="15" customHeight="1" x14ac:dyDescent="0.3"/>
    <row r="1358" ht="15" customHeight="1" x14ac:dyDescent="0.3"/>
    <row r="1359" ht="15" customHeight="1" x14ac:dyDescent="0.3"/>
    <row r="1360" ht="15" customHeight="1" x14ac:dyDescent="0.3"/>
    <row r="1361" ht="15" customHeight="1" x14ac:dyDescent="0.3"/>
    <row r="1362" ht="15" customHeight="1" x14ac:dyDescent="0.3"/>
    <row r="1363" ht="15" customHeight="1" x14ac:dyDescent="0.3"/>
    <row r="1364" ht="15" customHeight="1" x14ac:dyDescent="0.3"/>
    <row r="1365" ht="15" customHeight="1" x14ac:dyDescent="0.3"/>
    <row r="1366" ht="15" customHeight="1" x14ac:dyDescent="0.3"/>
    <row r="1367" ht="15" customHeight="1" x14ac:dyDescent="0.3"/>
    <row r="1368" ht="15" customHeight="1" x14ac:dyDescent="0.3"/>
    <row r="1369" ht="15" customHeight="1" x14ac:dyDescent="0.3"/>
    <row r="1370" ht="15" customHeight="1" x14ac:dyDescent="0.3"/>
    <row r="1371" ht="15" customHeight="1" x14ac:dyDescent="0.3"/>
    <row r="1372" ht="15" customHeight="1" x14ac:dyDescent="0.3"/>
    <row r="1373" ht="15" customHeight="1" x14ac:dyDescent="0.3"/>
    <row r="1374" ht="15" customHeight="1" x14ac:dyDescent="0.3"/>
    <row r="1375" ht="15" customHeight="1" x14ac:dyDescent="0.3"/>
    <row r="1376" ht="15" customHeight="1" x14ac:dyDescent="0.3"/>
    <row r="1377" ht="15" customHeight="1" x14ac:dyDescent="0.3"/>
    <row r="1378" ht="15" customHeight="1" x14ac:dyDescent="0.3"/>
    <row r="1379" ht="15" customHeight="1" x14ac:dyDescent="0.3"/>
    <row r="1380" ht="15" customHeight="1" x14ac:dyDescent="0.3"/>
    <row r="1381" ht="15" customHeight="1" x14ac:dyDescent="0.3"/>
    <row r="1382" ht="15" customHeight="1" x14ac:dyDescent="0.3"/>
    <row r="1383" ht="15" customHeight="1" x14ac:dyDescent="0.3"/>
    <row r="1384" ht="15" customHeight="1" x14ac:dyDescent="0.3"/>
    <row r="1385" ht="15" customHeight="1" x14ac:dyDescent="0.3"/>
    <row r="1386" ht="15" customHeight="1" x14ac:dyDescent="0.3"/>
    <row r="1387" ht="15" customHeight="1" x14ac:dyDescent="0.3"/>
    <row r="1388" ht="15" customHeight="1" x14ac:dyDescent="0.3"/>
    <row r="1389" ht="15" customHeight="1" x14ac:dyDescent="0.3"/>
    <row r="1390" ht="15" customHeight="1" x14ac:dyDescent="0.3"/>
    <row r="1391" ht="15" customHeight="1" x14ac:dyDescent="0.3"/>
    <row r="1392" ht="15" customHeight="1" x14ac:dyDescent="0.3"/>
    <row r="1393" ht="15" customHeight="1" x14ac:dyDescent="0.3"/>
    <row r="1394" ht="15" customHeight="1" x14ac:dyDescent="0.3"/>
    <row r="1395" ht="15" customHeight="1" x14ac:dyDescent="0.3"/>
    <row r="1396" ht="15" customHeight="1" x14ac:dyDescent="0.3"/>
    <row r="1397" ht="15" customHeight="1" x14ac:dyDescent="0.3"/>
    <row r="1398" ht="15" customHeight="1" x14ac:dyDescent="0.3"/>
    <row r="1399" ht="15" customHeight="1" x14ac:dyDescent="0.3"/>
    <row r="1400" ht="15" customHeight="1" x14ac:dyDescent="0.3"/>
    <row r="1401" ht="15" customHeight="1" x14ac:dyDescent="0.3"/>
    <row r="1402" ht="15" customHeight="1" x14ac:dyDescent="0.3"/>
    <row r="1403" ht="15" customHeight="1" x14ac:dyDescent="0.3"/>
    <row r="1404" ht="15" customHeight="1" x14ac:dyDescent="0.3"/>
    <row r="1405" ht="15" customHeight="1" x14ac:dyDescent="0.3"/>
    <row r="1406" ht="15" customHeight="1" x14ac:dyDescent="0.3"/>
    <row r="1407" ht="15" customHeight="1" x14ac:dyDescent="0.3"/>
    <row r="1408" ht="15" customHeight="1" x14ac:dyDescent="0.3"/>
    <row r="1409" ht="15" customHeight="1" x14ac:dyDescent="0.3"/>
    <row r="1410" ht="15" customHeight="1" x14ac:dyDescent="0.3"/>
    <row r="1411" ht="15" customHeight="1" x14ac:dyDescent="0.3"/>
    <row r="1412" ht="15" customHeight="1" x14ac:dyDescent="0.3"/>
    <row r="1413" ht="15" customHeight="1" x14ac:dyDescent="0.3"/>
    <row r="1414" ht="15" customHeight="1" x14ac:dyDescent="0.3"/>
    <row r="1415" ht="15" customHeight="1" x14ac:dyDescent="0.3"/>
    <row r="1416" ht="15" customHeight="1" x14ac:dyDescent="0.3"/>
    <row r="1417" ht="15" customHeight="1" x14ac:dyDescent="0.3"/>
    <row r="1418" ht="15" customHeight="1" x14ac:dyDescent="0.3"/>
    <row r="1419" ht="15" customHeight="1" x14ac:dyDescent="0.3"/>
    <row r="1420" ht="15" customHeight="1" x14ac:dyDescent="0.3"/>
    <row r="1421" ht="15" customHeight="1" x14ac:dyDescent="0.3"/>
    <row r="1422" ht="15" customHeight="1" x14ac:dyDescent="0.3"/>
    <row r="1423" ht="15" customHeight="1" x14ac:dyDescent="0.3"/>
    <row r="1424" ht="15" customHeight="1" x14ac:dyDescent="0.3"/>
    <row r="1425" ht="15" customHeight="1" x14ac:dyDescent="0.3"/>
    <row r="1426" ht="15" customHeight="1" x14ac:dyDescent="0.3"/>
    <row r="1427" ht="15" customHeight="1" x14ac:dyDescent="0.3"/>
    <row r="1428" ht="15" customHeight="1" x14ac:dyDescent="0.3"/>
    <row r="1429" ht="15" customHeight="1" x14ac:dyDescent="0.3"/>
    <row r="1430" ht="15" customHeight="1" x14ac:dyDescent="0.3"/>
    <row r="1431" ht="15" customHeight="1" x14ac:dyDescent="0.3"/>
    <row r="1432" ht="15" customHeight="1" x14ac:dyDescent="0.3"/>
    <row r="1433" ht="15" customHeight="1" x14ac:dyDescent="0.3"/>
    <row r="1434" ht="15" customHeight="1" x14ac:dyDescent="0.3"/>
    <row r="1435" ht="15" customHeight="1" x14ac:dyDescent="0.3"/>
    <row r="1436" ht="15" customHeight="1" x14ac:dyDescent="0.3"/>
    <row r="1437" ht="15" customHeight="1" x14ac:dyDescent="0.3"/>
    <row r="1438" ht="15" customHeight="1" x14ac:dyDescent="0.3"/>
    <row r="1439" ht="15" customHeight="1" x14ac:dyDescent="0.3"/>
    <row r="1440" ht="15" customHeight="1" x14ac:dyDescent="0.3"/>
    <row r="1441" ht="15" customHeight="1" x14ac:dyDescent="0.3"/>
    <row r="1442" ht="15" customHeight="1" x14ac:dyDescent="0.3"/>
    <row r="1443" ht="15" customHeight="1" x14ac:dyDescent="0.3"/>
    <row r="1444" ht="15" customHeight="1" x14ac:dyDescent="0.3"/>
    <row r="1445" ht="15" customHeight="1" x14ac:dyDescent="0.3"/>
    <row r="1446" ht="15" customHeight="1" x14ac:dyDescent="0.3"/>
    <row r="1447" ht="15" customHeight="1" x14ac:dyDescent="0.3"/>
    <row r="1448" ht="15" customHeight="1" x14ac:dyDescent="0.3"/>
    <row r="1449" ht="15" customHeight="1" x14ac:dyDescent="0.3"/>
    <row r="1450" ht="15" customHeight="1" x14ac:dyDescent="0.3"/>
    <row r="1451" ht="15" customHeight="1" x14ac:dyDescent="0.3"/>
    <row r="1452" ht="15" customHeight="1" x14ac:dyDescent="0.3"/>
    <row r="1453" ht="15" customHeight="1" x14ac:dyDescent="0.3"/>
    <row r="1454" ht="15" customHeight="1" x14ac:dyDescent="0.3"/>
    <row r="1455" ht="15" customHeight="1" x14ac:dyDescent="0.3"/>
    <row r="1456" ht="15" customHeight="1" x14ac:dyDescent="0.3"/>
    <row r="1457" ht="15" customHeight="1" x14ac:dyDescent="0.3"/>
    <row r="1458" ht="15" customHeight="1" x14ac:dyDescent="0.3"/>
    <row r="1459" ht="15" customHeight="1" x14ac:dyDescent="0.3"/>
    <row r="1460" ht="15" customHeight="1" x14ac:dyDescent="0.3"/>
    <row r="1461" ht="15" customHeight="1" x14ac:dyDescent="0.3"/>
    <row r="1462" ht="15" customHeight="1" x14ac:dyDescent="0.3"/>
  </sheetData>
  <mergeCells count="4">
    <mergeCell ref="A1:G1"/>
    <mergeCell ref="F3:G3"/>
    <mergeCell ref="A4:G4"/>
    <mergeCell ref="A20:G22"/>
  </mergeCells>
  <conditionalFormatting sqref="A9:G14">
    <cfRule type="expression" dxfId="0" priority="12">
      <formula>A9=TODAY()</formula>
    </cfRule>
  </conditionalFormatting>
  <dataValidations count="2">
    <dataValidation type="list" sqref="E3" xr:uid="{745EBABA-6EE4-463F-A382-2BB76C4E8050}">
      <formula1>$N$1:$N$12</formula1>
      <formula2>0</formula2>
    </dataValidation>
    <dataValidation type="list" sqref="B3" xr:uid="{7DA32978-7C83-4E85-ADE4-476C8B197661}">
      <formula1>$O$1:$O$4</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0" id="{E30A388F-9C69-4858-9B53-DEE11B2766E3}">
            <xm:f>AND(A9&lt;&gt;"",COUNTIFS(Control!$B$34:$B$1493,A9,Control!$D$34:$D$1493,"Gym")&gt;0)</xm:f>
            <x14:dxf>
              <font>
                <b/>
                <sz val="13"/>
                <color rgb="FF1E6B2E"/>
                <name val="Calibri"/>
                <charset val="1"/>
              </font>
              <fill>
                <patternFill>
                  <bgColor rgb="FFC6EFCE"/>
                </patternFill>
              </fill>
              <border diagonalUp="0" diagonalDown="0">
                <left style="thin">
                  <color rgb="FFBFBFBF"/>
                </left>
                <right style="thin">
                  <color rgb="FFBFBFBF"/>
                </right>
                <top style="thin">
                  <color rgb="FFBFBFBF"/>
                </top>
                <bottom style="thin">
                  <color rgb="FFBFBFBF"/>
                </bottom>
              </border>
            </x14:dxf>
          </x14:cfRule>
          <x14:cfRule type="expression" priority="11" id="{1E869C58-495D-4601-96C2-0E9CE04E8D8C}">
            <xm:f>AND(A9&lt;&gt;"",COUNTIFS(Control!$B$34:$B$1493,A9,Control!$D$34:$D$1493,"Rest")&gt;0)</xm:f>
            <x14:dxf>
              <font>
                <b/>
                <sz val="13"/>
                <color rgb="FFA6390A"/>
                <name val="Calibri"/>
                <charset val="1"/>
              </font>
              <fill>
                <patternFill>
                  <bgColor rgb="FFF8CBAD"/>
                </patternFill>
              </fill>
              <border diagonalUp="0" diagonalDown="0">
                <left style="thin">
                  <color rgb="FFBFBFBF"/>
                </left>
                <right style="thin">
                  <color rgb="FFBFBFBF"/>
                </right>
                <top style="thin">
                  <color rgb="FFBFBFBF"/>
                </top>
                <bottom style="thin">
                  <color rgb="FFBFBFBF"/>
                </bottom>
              </border>
            </x14:dxf>
          </x14:cfRule>
          <xm:sqref>A9:G14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E7DCB-5805-4B0B-8539-25922928F3F0}">
  <dimension ref="A1:J132"/>
  <sheetViews>
    <sheetView topLeftCell="A10" zoomScale="80" zoomScaleNormal="80" workbookViewId="0">
      <selection activeCell="A32" sqref="A32"/>
    </sheetView>
  </sheetViews>
  <sheetFormatPr defaultRowHeight="14.4" x14ac:dyDescent="0.3"/>
  <cols>
    <col min="1" max="1" width="20.33203125" style="13" bestFit="1" customWidth="1"/>
    <col min="2" max="2" width="20.33203125" style="13" customWidth="1"/>
    <col min="3" max="3" width="32.21875" bestFit="1" customWidth="1"/>
    <col min="4" max="5" width="17.33203125" customWidth="1"/>
    <col min="6" max="9" width="15" customWidth="1"/>
    <col min="10" max="10" width="77.44140625" customWidth="1"/>
  </cols>
  <sheetData>
    <row r="1" spans="1:10" x14ac:dyDescent="0.3">
      <c r="A1" s="33" t="s">
        <v>16</v>
      </c>
      <c r="B1" s="33" t="s">
        <v>60</v>
      </c>
      <c r="C1" s="34" t="s">
        <v>0</v>
      </c>
      <c r="D1" s="34" t="s">
        <v>28</v>
      </c>
      <c r="E1" s="34" t="s">
        <v>27</v>
      </c>
      <c r="F1" s="34" t="s">
        <v>31</v>
      </c>
      <c r="G1" s="34" t="s">
        <v>32</v>
      </c>
      <c r="H1" s="34" t="s">
        <v>61</v>
      </c>
      <c r="I1" s="34" t="s">
        <v>56</v>
      </c>
      <c r="J1" s="34" t="s">
        <v>1</v>
      </c>
    </row>
    <row r="2" spans="1:10" x14ac:dyDescent="0.3">
      <c r="A2" s="41">
        <v>46213</v>
      </c>
      <c r="B2" s="41">
        <v>46213</v>
      </c>
      <c r="C2" s="42" t="s">
        <v>3</v>
      </c>
      <c r="D2" s="43">
        <v>90</v>
      </c>
      <c r="E2" s="43" t="s">
        <v>30</v>
      </c>
      <c r="F2" s="43">
        <v>10</v>
      </c>
      <c r="G2" s="43">
        <v>2</v>
      </c>
      <c r="H2" s="43">
        <f>IFERROR(log_5[[#This Row],[Reps]]*log_5[[#This Row],[Sets]],"")</f>
        <v>20</v>
      </c>
      <c r="I2" s="43">
        <f>IFERROR(log_5[[#This Row],[Weight Value]]*log_5[[#This Row],[Reps]]*log_5[[#This Row],[Sets]],"")</f>
        <v>1800</v>
      </c>
      <c r="J2" s="44" t="s">
        <v>89</v>
      </c>
    </row>
    <row r="3" spans="1:10" x14ac:dyDescent="0.3">
      <c r="A3" s="41">
        <v>46213</v>
      </c>
      <c r="B3" s="41">
        <v>46213</v>
      </c>
      <c r="C3" s="45" t="s">
        <v>3</v>
      </c>
      <c r="D3" s="43">
        <v>90</v>
      </c>
      <c r="E3" s="43" t="s">
        <v>30</v>
      </c>
      <c r="F3" s="46">
        <v>7</v>
      </c>
      <c r="G3" s="46">
        <v>1</v>
      </c>
      <c r="H3" s="46">
        <f>IFERROR(log_5[[#This Row],[Reps]]*log_5[[#This Row],[Sets]],"")</f>
        <v>7</v>
      </c>
      <c r="I3" s="46">
        <f>IFERROR(log_5[[#This Row],[Weight Value]]*log_5[[#This Row],[Reps]]*log_5[[#This Row],[Sets]],"")</f>
        <v>630</v>
      </c>
      <c r="J3" s="44"/>
    </row>
    <row r="4" spans="1:10" x14ac:dyDescent="0.3">
      <c r="A4" s="41">
        <v>46213</v>
      </c>
      <c r="B4" s="41">
        <v>46213</v>
      </c>
      <c r="C4" s="45" t="s">
        <v>3</v>
      </c>
      <c r="D4" s="46">
        <v>80</v>
      </c>
      <c r="E4" s="46" t="s">
        <v>30</v>
      </c>
      <c r="F4" s="46">
        <v>7</v>
      </c>
      <c r="G4" s="46">
        <v>1</v>
      </c>
      <c r="H4" s="46">
        <f>IFERROR(log_5[[#This Row],[Reps]]*log_5[[#This Row],[Sets]],"")</f>
        <v>7</v>
      </c>
      <c r="I4" s="46">
        <f>IFERROR(log_5[[#This Row],[Weight Value]]*log_5[[#This Row],[Reps]]*log_5[[#This Row],[Sets]],"")</f>
        <v>560</v>
      </c>
      <c r="J4" s="44"/>
    </row>
    <row r="5" spans="1:10" x14ac:dyDescent="0.3">
      <c r="A5" s="41">
        <v>46213</v>
      </c>
      <c r="B5" s="41">
        <v>46213</v>
      </c>
      <c r="C5" s="45" t="s">
        <v>6</v>
      </c>
      <c r="D5" s="46">
        <v>50</v>
      </c>
      <c r="E5" s="46" t="s">
        <v>30</v>
      </c>
      <c r="F5" s="46">
        <v>10</v>
      </c>
      <c r="G5" s="46">
        <v>1</v>
      </c>
      <c r="H5" s="46">
        <f>IFERROR(log_5[[#This Row],[Reps]]*log_5[[#This Row],[Sets]],"")</f>
        <v>10</v>
      </c>
      <c r="I5" s="46">
        <f>IFERROR(log_5[[#This Row],[Weight Value]]*log_5[[#This Row],[Reps]]*log_5[[#This Row],[Sets]],"")</f>
        <v>500</v>
      </c>
      <c r="J5" s="44" t="s">
        <v>90</v>
      </c>
    </row>
    <row r="6" spans="1:10" x14ac:dyDescent="0.3">
      <c r="A6" s="41">
        <v>46213</v>
      </c>
      <c r="B6" s="41">
        <v>46213</v>
      </c>
      <c r="C6" s="45" t="s">
        <v>6</v>
      </c>
      <c r="D6" s="46">
        <v>60</v>
      </c>
      <c r="E6" s="46" t="s">
        <v>30</v>
      </c>
      <c r="F6" s="46">
        <v>8</v>
      </c>
      <c r="G6" s="46">
        <v>3</v>
      </c>
      <c r="H6" s="46">
        <f>IFERROR(log_5[[#This Row],[Reps]]*log_5[[#This Row],[Sets]],"")</f>
        <v>24</v>
      </c>
      <c r="I6" s="46">
        <f>IFERROR(log_5[[#This Row],[Weight Value]]*log_5[[#This Row],[Reps]]*log_5[[#This Row],[Sets]],"")</f>
        <v>1440</v>
      </c>
      <c r="J6" s="44"/>
    </row>
    <row r="7" spans="1:10" x14ac:dyDescent="0.3">
      <c r="A7" s="41">
        <v>46213</v>
      </c>
      <c r="B7" s="41">
        <v>46213</v>
      </c>
      <c r="C7" s="45" t="s">
        <v>91</v>
      </c>
      <c r="D7" s="46">
        <v>44</v>
      </c>
      <c r="E7" s="46" t="s">
        <v>30</v>
      </c>
      <c r="F7" s="46">
        <v>8</v>
      </c>
      <c r="G7" s="46">
        <v>2</v>
      </c>
      <c r="H7" s="46">
        <f>IFERROR(log_5[[#This Row],[Reps]]*log_5[[#This Row],[Sets]],"")</f>
        <v>16</v>
      </c>
      <c r="I7" s="46">
        <f>IFERROR(log_5[[#This Row],[Weight Value]]*log_5[[#This Row],[Reps]]*log_5[[#This Row],[Sets]],"")</f>
        <v>704</v>
      </c>
      <c r="J7" s="44"/>
    </row>
    <row r="8" spans="1:10" x14ac:dyDescent="0.3">
      <c r="A8" s="41">
        <v>46213</v>
      </c>
      <c r="B8" s="41">
        <v>46213</v>
      </c>
      <c r="C8" s="45" t="s">
        <v>91</v>
      </c>
      <c r="D8" s="46">
        <v>33</v>
      </c>
      <c r="E8" s="46" t="s">
        <v>30</v>
      </c>
      <c r="F8" s="46">
        <v>8</v>
      </c>
      <c r="G8" s="46">
        <v>2</v>
      </c>
      <c r="H8" s="46">
        <f>IFERROR(log_5[[#This Row],[Reps]]*log_5[[#This Row],[Sets]],"")</f>
        <v>16</v>
      </c>
      <c r="I8" s="46">
        <f>IFERROR(log_5[[#This Row],[Weight Value]]*log_5[[#This Row],[Reps]]*log_5[[#This Row],[Sets]],"")</f>
        <v>528</v>
      </c>
      <c r="J8" s="45"/>
    </row>
    <row r="9" spans="1:10" x14ac:dyDescent="0.3">
      <c r="A9" s="41">
        <v>46213</v>
      </c>
      <c r="B9" s="41">
        <v>46213</v>
      </c>
      <c r="C9" s="45" t="s">
        <v>5</v>
      </c>
      <c r="D9" s="46">
        <v>90</v>
      </c>
      <c r="E9" s="46" t="s">
        <v>30</v>
      </c>
      <c r="F9" s="46">
        <v>10</v>
      </c>
      <c r="G9" s="46">
        <v>3</v>
      </c>
      <c r="H9" s="46">
        <f>IFERROR(log_5[[#This Row],[Reps]]*log_5[[#This Row],[Sets]],"")</f>
        <v>30</v>
      </c>
      <c r="I9" s="46">
        <f>IFERROR(log_5[[#This Row],[Weight Value]]*log_5[[#This Row],[Reps]]*log_5[[#This Row],[Sets]],"")</f>
        <v>2700</v>
      </c>
      <c r="J9" s="45"/>
    </row>
    <row r="10" spans="1:10" x14ac:dyDescent="0.3">
      <c r="A10" s="41">
        <v>46213</v>
      </c>
      <c r="B10" s="41">
        <v>46213</v>
      </c>
      <c r="C10" s="45" t="s">
        <v>5</v>
      </c>
      <c r="D10" s="46">
        <v>90</v>
      </c>
      <c r="E10" s="46" t="s">
        <v>30</v>
      </c>
      <c r="F10" s="46">
        <v>8</v>
      </c>
      <c r="G10" s="46">
        <v>1</v>
      </c>
      <c r="H10" s="46">
        <f>IFERROR(log_5[[#This Row],[Reps]]*log_5[[#This Row],[Sets]],"")</f>
        <v>8</v>
      </c>
      <c r="I10" s="46">
        <f>IFERROR(log_5[[#This Row],[Weight Value]]*log_5[[#This Row],[Reps]]*log_5[[#This Row],[Sets]],"")</f>
        <v>720</v>
      </c>
      <c r="J10" s="45"/>
    </row>
    <row r="11" spans="1:10" x14ac:dyDescent="0.3">
      <c r="A11" s="41">
        <v>46213</v>
      </c>
      <c r="B11" s="41">
        <v>46213</v>
      </c>
      <c r="C11" s="45" t="s">
        <v>10</v>
      </c>
      <c r="D11" s="46">
        <v>5</v>
      </c>
      <c r="E11" s="46" t="s">
        <v>29</v>
      </c>
      <c r="F11" s="46">
        <v>12</v>
      </c>
      <c r="G11" s="46">
        <v>4</v>
      </c>
      <c r="H11" s="46">
        <f>IFERROR(log_5[[#This Row],[Reps]]*log_5[[#This Row],[Sets]],"")</f>
        <v>48</v>
      </c>
      <c r="I11" s="46">
        <f>IFERROR(log_5[[#This Row],[Weight Value]]*log_5[[#This Row],[Reps]]*log_5[[#This Row],[Sets]],"")</f>
        <v>240</v>
      </c>
      <c r="J11" s="45"/>
    </row>
    <row r="12" spans="1:10" x14ac:dyDescent="0.3">
      <c r="A12" s="41">
        <v>46213</v>
      </c>
      <c r="B12" s="41">
        <v>46213</v>
      </c>
      <c r="C12" s="45" t="s">
        <v>13</v>
      </c>
      <c r="D12" s="46">
        <v>5</v>
      </c>
      <c r="E12" s="46" t="s">
        <v>29</v>
      </c>
      <c r="F12" s="46">
        <v>10</v>
      </c>
      <c r="G12" s="46">
        <v>4</v>
      </c>
      <c r="H12" s="46">
        <f>IFERROR(log_5[[#This Row],[Reps]]*log_5[[#This Row],[Sets]],"")</f>
        <v>40</v>
      </c>
      <c r="I12" s="46">
        <f>IFERROR(log_5[[#This Row],[Weight Value]]*log_5[[#This Row],[Reps]]*log_5[[#This Row],[Sets]],"")</f>
        <v>200</v>
      </c>
      <c r="J12" s="45"/>
    </row>
    <row r="13" spans="1:10" x14ac:dyDescent="0.3">
      <c r="A13" s="41">
        <v>46213</v>
      </c>
      <c r="B13" s="41">
        <v>46213</v>
      </c>
      <c r="C13" s="47" t="s">
        <v>45</v>
      </c>
      <c r="D13" s="46">
        <v>35</v>
      </c>
      <c r="E13" s="46" t="s">
        <v>30</v>
      </c>
      <c r="F13" s="46">
        <v>12</v>
      </c>
      <c r="G13" s="46">
        <v>2</v>
      </c>
      <c r="H13" s="46">
        <f>IFERROR(log_5[[#This Row],[Reps]]*log_5[[#This Row],[Sets]],"")</f>
        <v>24</v>
      </c>
      <c r="I13" s="46">
        <f>IFERROR(log_5[[#This Row],[Weight Value]]*log_5[[#This Row],[Reps]]*log_5[[#This Row],[Sets]],"")</f>
        <v>840</v>
      </c>
      <c r="J13" s="45"/>
    </row>
    <row r="14" spans="1:10" x14ac:dyDescent="0.3">
      <c r="A14" s="41">
        <v>46213</v>
      </c>
      <c r="B14" s="41">
        <v>46213</v>
      </c>
      <c r="C14" s="45" t="s">
        <v>45</v>
      </c>
      <c r="D14" s="46">
        <v>45</v>
      </c>
      <c r="E14" s="46" t="s">
        <v>30</v>
      </c>
      <c r="F14" s="46">
        <v>12</v>
      </c>
      <c r="G14" s="46">
        <v>1</v>
      </c>
      <c r="H14" s="46">
        <f>IFERROR(log_5[[#This Row],[Reps]]*log_5[[#This Row],[Sets]],"")</f>
        <v>12</v>
      </c>
      <c r="I14" s="46">
        <f>IFERROR(log_5[[#This Row],[Weight Value]]*log_5[[#This Row],[Reps]]*log_5[[#This Row],[Sets]],"")</f>
        <v>540</v>
      </c>
      <c r="J14" s="45"/>
    </row>
    <row r="15" spans="1:10" x14ac:dyDescent="0.3">
      <c r="A15" s="41">
        <v>46213</v>
      </c>
      <c r="B15" s="41">
        <v>46213</v>
      </c>
      <c r="C15" s="45" t="s">
        <v>45</v>
      </c>
      <c r="D15" s="46">
        <v>45</v>
      </c>
      <c r="E15" s="46" t="s">
        <v>30</v>
      </c>
      <c r="F15" s="46">
        <v>8</v>
      </c>
      <c r="G15" s="46">
        <v>1</v>
      </c>
      <c r="H15" s="46">
        <f>IFERROR(log_5[[#This Row],[Reps]]*log_5[[#This Row],[Sets]],"")</f>
        <v>8</v>
      </c>
      <c r="I15" s="46">
        <f>IFERROR(log_5[[#This Row],[Weight Value]]*log_5[[#This Row],[Reps]]*log_5[[#This Row],[Sets]],"")</f>
        <v>360</v>
      </c>
      <c r="J15" s="45"/>
    </row>
    <row r="16" spans="1:10" x14ac:dyDescent="0.3">
      <c r="A16" s="41">
        <v>46213</v>
      </c>
      <c r="B16" s="41">
        <v>46213</v>
      </c>
      <c r="C16" s="45" t="s">
        <v>93</v>
      </c>
      <c r="D16" s="46">
        <v>10</v>
      </c>
      <c r="E16" s="46" t="s">
        <v>29</v>
      </c>
      <c r="F16" s="46">
        <v>10</v>
      </c>
      <c r="G16" s="46">
        <v>1</v>
      </c>
      <c r="H16" s="46">
        <f>IFERROR(log_5[[#This Row],[Reps]]*log_5[[#This Row],[Sets]],"")</f>
        <v>10</v>
      </c>
      <c r="I16" s="46">
        <f>IFERROR(log_5[[#This Row],[Weight Value]]*log_5[[#This Row],[Reps]]*log_5[[#This Row],[Sets]],"")</f>
        <v>100</v>
      </c>
      <c r="J16" s="45"/>
    </row>
    <row r="17" spans="1:10" x14ac:dyDescent="0.3">
      <c r="A17" s="41">
        <v>46220</v>
      </c>
      <c r="B17" s="41">
        <v>46220</v>
      </c>
      <c r="C17" s="45" t="s">
        <v>3</v>
      </c>
      <c r="D17" s="46">
        <v>80</v>
      </c>
      <c r="E17" s="46" t="s">
        <v>30</v>
      </c>
      <c r="F17" s="46">
        <v>10</v>
      </c>
      <c r="G17" s="46">
        <v>4</v>
      </c>
      <c r="H17" s="46">
        <f>IFERROR(log_5[[#This Row],[Reps]]*log_5[[#This Row],[Sets]],"")</f>
        <v>40</v>
      </c>
      <c r="I17" s="46">
        <f>IFERROR(log_5[[#This Row],[Weight Value]]*log_5[[#This Row],[Reps]]*log_5[[#This Row],[Sets]],"")</f>
        <v>3200</v>
      </c>
      <c r="J17" s="45"/>
    </row>
    <row r="18" spans="1:10" x14ac:dyDescent="0.3">
      <c r="A18" s="41">
        <v>46220</v>
      </c>
      <c r="B18" s="41">
        <v>46220</v>
      </c>
      <c r="C18" s="45" t="s">
        <v>6</v>
      </c>
      <c r="D18" s="46">
        <v>60</v>
      </c>
      <c r="E18" s="46" t="s">
        <v>30</v>
      </c>
      <c r="F18" s="46">
        <v>10</v>
      </c>
      <c r="G18" s="46">
        <v>2</v>
      </c>
      <c r="H18" s="46">
        <f>IFERROR(log_5[[#This Row],[Reps]]*log_5[[#This Row],[Sets]],"")</f>
        <v>20</v>
      </c>
      <c r="I18" s="46">
        <f>IFERROR(log_5[[#This Row],[Weight Value]]*log_5[[#This Row],[Reps]]*log_5[[#This Row],[Sets]],"")</f>
        <v>1200</v>
      </c>
      <c r="J18" s="45"/>
    </row>
    <row r="19" spans="1:10" x14ac:dyDescent="0.3">
      <c r="A19" s="41">
        <v>46220</v>
      </c>
      <c r="B19" s="41">
        <v>46220</v>
      </c>
      <c r="C19" s="45" t="s">
        <v>6</v>
      </c>
      <c r="D19" s="46">
        <v>60</v>
      </c>
      <c r="E19" s="46" t="s">
        <v>30</v>
      </c>
      <c r="F19" s="46">
        <v>8</v>
      </c>
      <c r="G19" s="46">
        <v>2</v>
      </c>
      <c r="H19" s="46">
        <f>IFERROR(log_5[[#This Row],[Reps]]*log_5[[#This Row],[Sets]],"")</f>
        <v>16</v>
      </c>
      <c r="I19" s="46">
        <f>IFERROR(log_5[[#This Row],[Weight Value]]*log_5[[#This Row],[Reps]]*log_5[[#This Row],[Sets]],"")</f>
        <v>960</v>
      </c>
      <c r="J19" s="45"/>
    </row>
    <row r="20" spans="1:10" x14ac:dyDescent="0.3">
      <c r="A20" s="41">
        <v>46220</v>
      </c>
      <c r="B20" s="41">
        <v>46220</v>
      </c>
      <c r="C20" s="47" t="s">
        <v>5</v>
      </c>
      <c r="D20" s="46">
        <v>90</v>
      </c>
      <c r="E20" s="46" t="s">
        <v>30</v>
      </c>
      <c r="F20" s="46">
        <v>10</v>
      </c>
      <c r="G20" s="46">
        <v>4</v>
      </c>
      <c r="H20" s="46">
        <f>IFERROR(log_5[[#This Row],[Reps]]*log_5[[#This Row],[Sets]],"")</f>
        <v>40</v>
      </c>
      <c r="I20" s="46">
        <f>IFERROR(log_5[[#This Row],[Weight Value]]*log_5[[#This Row],[Reps]]*log_5[[#This Row],[Sets]],"")</f>
        <v>3600</v>
      </c>
      <c r="J20" s="45"/>
    </row>
    <row r="21" spans="1:10" x14ac:dyDescent="0.3">
      <c r="A21" s="41">
        <v>46220</v>
      </c>
      <c r="B21" s="41">
        <v>46220</v>
      </c>
      <c r="C21" s="45" t="s">
        <v>94</v>
      </c>
      <c r="D21" s="46">
        <v>10</v>
      </c>
      <c r="E21" s="46" t="s">
        <v>29</v>
      </c>
      <c r="F21" s="46">
        <v>10</v>
      </c>
      <c r="G21" s="46">
        <v>4</v>
      </c>
      <c r="H21" s="46">
        <f>IFERROR(log_5[[#This Row],[Reps]]*log_5[[#This Row],[Sets]],"")</f>
        <v>40</v>
      </c>
      <c r="I21" s="46">
        <f>IFERROR(log_5[[#This Row],[Weight Value]]*log_5[[#This Row],[Reps]]*log_5[[#This Row],[Sets]],"")</f>
        <v>400</v>
      </c>
      <c r="J21" s="45" t="s">
        <v>95</v>
      </c>
    </row>
    <row r="22" spans="1:10" x14ac:dyDescent="0.3">
      <c r="A22" s="41">
        <v>46220</v>
      </c>
      <c r="B22" s="41">
        <v>46220</v>
      </c>
      <c r="C22" s="45" t="s">
        <v>45</v>
      </c>
      <c r="D22" s="46">
        <v>45</v>
      </c>
      <c r="E22" s="46" t="s">
        <v>30</v>
      </c>
      <c r="F22" s="46">
        <v>12</v>
      </c>
      <c r="G22" s="46">
        <v>3</v>
      </c>
      <c r="H22" s="46">
        <f>IFERROR(log_5[[#This Row],[Reps]]*log_5[[#This Row],[Sets]],"")</f>
        <v>36</v>
      </c>
      <c r="I22" s="46">
        <f>IFERROR(log_5[[#This Row],[Weight Value]]*log_5[[#This Row],[Reps]]*log_5[[#This Row],[Sets]],"")</f>
        <v>1620</v>
      </c>
      <c r="J22" s="45"/>
    </row>
    <row r="23" spans="1:10" x14ac:dyDescent="0.3">
      <c r="A23" s="41">
        <v>46220</v>
      </c>
      <c r="B23" s="41">
        <v>46220</v>
      </c>
      <c r="C23" s="45" t="s">
        <v>45</v>
      </c>
      <c r="D23" s="46">
        <v>45</v>
      </c>
      <c r="E23" s="46" t="s">
        <v>30</v>
      </c>
      <c r="F23" s="46">
        <v>8</v>
      </c>
      <c r="G23" s="46">
        <v>1</v>
      </c>
      <c r="H23" s="46">
        <f>IFERROR(log_5[[#This Row],[Reps]]*log_5[[#This Row],[Sets]],"")</f>
        <v>8</v>
      </c>
      <c r="I23" s="46">
        <f>IFERROR(log_5[[#This Row],[Weight Value]]*log_5[[#This Row],[Reps]]*log_5[[#This Row],[Sets]],"")</f>
        <v>360</v>
      </c>
      <c r="J23" s="45"/>
    </row>
    <row r="24" spans="1:10" x14ac:dyDescent="0.3">
      <c r="A24" s="41">
        <v>46220</v>
      </c>
      <c r="B24" s="41">
        <v>46220</v>
      </c>
      <c r="C24" s="45" t="s">
        <v>10</v>
      </c>
      <c r="D24" s="46">
        <v>5</v>
      </c>
      <c r="E24" s="46" t="s">
        <v>29</v>
      </c>
      <c r="F24" s="46">
        <v>12</v>
      </c>
      <c r="G24" s="46">
        <v>4</v>
      </c>
      <c r="H24" s="46">
        <f>IFERROR(log_5[[#This Row],[Reps]]*log_5[[#This Row],[Sets]],"")</f>
        <v>48</v>
      </c>
      <c r="I24" s="46">
        <f>IFERROR(log_5[[#This Row],[Weight Value]]*log_5[[#This Row],[Reps]]*log_5[[#This Row],[Sets]],"")</f>
        <v>240</v>
      </c>
      <c r="J24" s="45"/>
    </row>
    <row r="25" spans="1:10" x14ac:dyDescent="0.3">
      <c r="A25" s="41">
        <v>46220</v>
      </c>
      <c r="B25" s="41">
        <v>46220</v>
      </c>
      <c r="C25" s="45" t="s">
        <v>13</v>
      </c>
      <c r="D25" s="46">
        <v>5</v>
      </c>
      <c r="E25" s="46" t="s">
        <v>29</v>
      </c>
      <c r="F25" s="46">
        <v>12</v>
      </c>
      <c r="G25" s="46">
        <v>3</v>
      </c>
      <c r="H25" s="46">
        <f>IFERROR(log_5[[#This Row],[Reps]]*log_5[[#This Row],[Sets]],"")</f>
        <v>36</v>
      </c>
      <c r="I25" s="46">
        <f>IFERROR(log_5[[#This Row],[Weight Value]]*log_5[[#This Row],[Reps]]*log_5[[#This Row],[Sets]],"")</f>
        <v>180</v>
      </c>
      <c r="J25" s="45"/>
    </row>
    <row r="26" spans="1:10" x14ac:dyDescent="0.3">
      <c r="A26" s="41">
        <v>46220</v>
      </c>
      <c r="B26" s="41">
        <v>46220</v>
      </c>
      <c r="C26" s="45" t="s">
        <v>13</v>
      </c>
      <c r="D26" s="46">
        <v>5</v>
      </c>
      <c r="E26" s="46" t="s">
        <v>29</v>
      </c>
      <c r="F26" s="46">
        <v>10</v>
      </c>
      <c r="G26" s="46">
        <v>1</v>
      </c>
      <c r="H26" s="46">
        <f>IFERROR(log_5[[#This Row],[Reps]]*log_5[[#This Row],[Sets]],"")</f>
        <v>10</v>
      </c>
      <c r="I26" s="46">
        <f>IFERROR(log_5[[#This Row],[Weight Value]]*log_5[[#This Row],[Reps]]*log_5[[#This Row],[Sets]],"")</f>
        <v>50</v>
      </c>
      <c r="J26" s="45"/>
    </row>
    <row r="27" spans="1:10" x14ac:dyDescent="0.3">
      <c r="A27" s="41">
        <v>46220</v>
      </c>
      <c r="B27" s="41">
        <v>46220</v>
      </c>
      <c r="C27" s="45" t="s">
        <v>91</v>
      </c>
      <c r="D27" s="46">
        <v>33</v>
      </c>
      <c r="E27" s="46" t="s">
        <v>30</v>
      </c>
      <c r="F27" s="46">
        <v>10</v>
      </c>
      <c r="G27" s="46">
        <v>1</v>
      </c>
      <c r="H27" s="46">
        <f>IFERROR(log_5[[#This Row],[Reps]]*log_5[[#This Row],[Sets]],"")</f>
        <v>10</v>
      </c>
      <c r="I27" s="46">
        <f>IFERROR(log_5[[#This Row],[Weight Value]]*log_5[[#This Row],[Reps]]*log_5[[#This Row],[Sets]],"")</f>
        <v>330</v>
      </c>
      <c r="J27" s="45"/>
    </row>
    <row r="28" spans="1:10" x14ac:dyDescent="0.3">
      <c r="A28" s="41">
        <v>46220</v>
      </c>
      <c r="B28" s="41">
        <v>46220</v>
      </c>
      <c r="C28" s="45" t="s">
        <v>91</v>
      </c>
      <c r="D28" s="46">
        <v>33</v>
      </c>
      <c r="E28" s="46" t="s">
        <v>30</v>
      </c>
      <c r="F28" s="46">
        <v>8</v>
      </c>
      <c r="G28" s="46">
        <v>1</v>
      </c>
      <c r="H28" s="46">
        <f>IFERROR(log_5[[#This Row],[Reps]]*log_5[[#This Row],[Sets]],"")</f>
        <v>8</v>
      </c>
      <c r="I28" s="46">
        <f>IFERROR(log_5[[#This Row],[Weight Value]]*log_5[[#This Row],[Reps]]*log_5[[#This Row],[Sets]],"")</f>
        <v>264</v>
      </c>
      <c r="J28" s="45"/>
    </row>
    <row r="29" spans="1:10" x14ac:dyDescent="0.3">
      <c r="A29" s="41">
        <v>46234</v>
      </c>
      <c r="B29" s="41">
        <v>46234</v>
      </c>
      <c r="C29" s="45" t="s">
        <v>6</v>
      </c>
      <c r="D29" s="46">
        <v>32</v>
      </c>
      <c r="E29" s="46" t="s">
        <v>29</v>
      </c>
      <c r="F29" s="46">
        <v>10</v>
      </c>
      <c r="G29" s="46">
        <v>1</v>
      </c>
      <c r="H29" s="46">
        <f>IFERROR(log_5[[#This Row],[Reps]]*log_5[[#This Row],[Sets]],"")</f>
        <v>10</v>
      </c>
      <c r="I29" s="46">
        <f>IFERROR(log_5[[#This Row],[Weight Value]]*log_5[[#This Row],[Reps]]*log_5[[#This Row],[Sets]],"")</f>
        <v>320</v>
      </c>
      <c r="J29" s="45"/>
    </row>
    <row r="30" spans="1:10" x14ac:dyDescent="0.3">
      <c r="A30" s="41">
        <v>46234</v>
      </c>
      <c r="B30" s="41">
        <v>46234</v>
      </c>
      <c r="C30" s="45" t="s">
        <v>6</v>
      </c>
      <c r="D30" s="46">
        <v>36</v>
      </c>
      <c r="E30" s="46" t="s">
        <v>29</v>
      </c>
      <c r="F30" s="46">
        <v>8</v>
      </c>
      <c r="G30" s="46">
        <v>1</v>
      </c>
      <c r="H30" s="46">
        <f>IFERROR(log_5[[#This Row],[Reps]]*log_5[[#This Row],[Sets]],"")</f>
        <v>8</v>
      </c>
      <c r="I30" s="46">
        <f>IFERROR(log_5[[#This Row],[Weight Value]]*log_5[[#This Row],[Reps]]*log_5[[#This Row],[Sets]],"")</f>
        <v>288</v>
      </c>
      <c r="J30" s="45"/>
    </row>
    <row r="31" spans="1:10" x14ac:dyDescent="0.3">
      <c r="A31" s="41">
        <v>46234</v>
      </c>
      <c r="B31" s="41">
        <v>46234</v>
      </c>
      <c r="C31" s="45" t="s">
        <v>6</v>
      </c>
      <c r="D31" s="46">
        <v>41</v>
      </c>
      <c r="E31" s="46" t="s">
        <v>29</v>
      </c>
      <c r="F31" s="46">
        <v>8</v>
      </c>
      <c r="G31" s="46">
        <v>2</v>
      </c>
      <c r="H31" s="46">
        <f>IFERROR(log_5[[#This Row],[Reps]]*log_5[[#This Row],[Sets]],"")</f>
        <v>16</v>
      </c>
      <c r="I31" s="46">
        <f>IFERROR(log_5[[#This Row],[Weight Value]]*log_5[[#This Row],[Reps]]*log_5[[#This Row],[Sets]],"")</f>
        <v>656</v>
      </c>
      <c r="J31" s="45"/>
    </row>
    <row r="32" spans="1:10" x14ac:dyDescent="0.3">
      <c r="A32" s="41">
        <v>46234</v>
      </c>
      <c r="B32" s="41">
        <v>46234</v>
      </c>
      <c r="C32" s="45" t="s">
        <v>92</v>
      </c>
      <c r="D32" s="46">
        <v>40</v>
      </c>
      <c r="E32" s="46" t="s">
        <v>29</v>
      </c>
      <c r="F32" s="46">
        <v>5</v>
      </c>
      <c r="G32" s="46">
        <v>2</v>
      </c>
      <c r="H32" s="46">
        <f>IFERROR(log_5[[#This Row],[Reps]]*log_5[[#This Row],[Sets]],"")</f>
        <v>10</v>
      </c>
      <c r="I32" s="46">
        <f>IFERROR(log_5[[#This Row],[Weight Value]]*log_5[[#This Row],[Reps]]*log_5[[#This Row],[Sets]],"")</f>
        <v>400</v>
      </c>
      <c r="J32" s="45"/>
    </row>
    <row r="33" spans="1:10" x14ac:dyDescent="0.3">
      <c r="A33" s="41">
        <v>46234</v>
      </c>
      <c r="B33" s="41">
        <v>46234</v>
      </c>
      <c r="C33" s="45" t="s">
        <v>92</v>
      </c>
      <c r="D33" s="46">
        <v>40</v>
      </c>
      <c r="E33" s="46" t="s">
        <v>29</v>
      </c>
      <c r="F33" s="46">
        <v>3</v>
      </c>
      <c r="G33" s="46">
        <v>1</v>
      </c>
      <c r="H33" s="46">
        <f>IFERROR(log_5[[#This Row],[Reps]]*log_5[[#This Row],[Sets]],"")</f>
        <v>3</v>
      </c>
      <c r="I33" s="46">
        <f>IFERROR(log_5[[#This Row],[Weight Value]]*log_5[[#This Row],[Reps]]*log_5[[#This Row],[Sets]],"")</f>
        <v>120</v>
      </c>
      <c r="J33" s="45"/>
    </row>
    <row r="34" spans="1:10" x14ac:dyDescent="0.3">
      <c r="A34" s="41">
        <v>46234</v>
      </c>
      <c r="B34" s="41">
        <v>46234</v>
      </c>
      <c r="C34" s="45" t="s">
        <v>109</v>
      </c>
      <c r="D34" s="46">
        <v>20</v>
      </c>
      <c r="E34" s="46" t="s">
        <v>29</v>
      </c>
      <c r="F34" s="46">
        <v>6</v>
      </c>
      <c r="G34" s="46">
        <v>2</v>
      </c>
      <c r="H34" s="46">
        <f>IFERROR(log_5[[#This Row],[Reps]]*log_5[[#This Row],[Sets]],"")</f>
        <v>12</v>
      </c>
      <c r="I34" s="46">
        <f>IFERROR(log_5[[#This Row],[Weight Value]]*log_5[[#This Row],[Reps]]*log_5[[#This Row],[Sets]],"")</f>
        <v>240</v>
      </c>
      <c r="J34" s="45"/>
    </row>
    <row r="35" spans="1:10" x14ac:dyDescent="0.3">
      <c r="A35" s="41">
        <v>46234</v>
      </c>
      <c r="B35" s="41">
        <v>46234</v>
      </c>
      <c r="C35" s="45" t="s">
        <v>109</v>
      </c>
      <c r="D35" s="46">
        <v>20</v>
      </c>
      <c r="E35" s="46" t="s">
        <v>29</v>
      </c>
      <c r="F35" s="46">
        <v>5</v>
      </c>
      <c r="G35" s="46">
        <v>1</v>
      </c>
      <c r="H35" s="46">
        <f>IFERROR(log_5[[#This Row],[Reps]]*log_5[[#This Row],[Sets]],"")</f>
        <v>5</v>
      </c>
      <c r="I35" s="46">
        <f>IFERROR(log_5[[#This Row],[Weight Value]]*log_5[[#This Row],[Reps]]*log_5[[#This Row],[Sets]],"")</f>
        <v>100</v>
      </c>
      <c r="J35" s="44"/>
    </row>
    <row r="36" spans="1:10" x14ac:dyDescent="0.3">
      <c r="A36" s="41">
        <v>46234</v>
      </c>
      <c r="B36" s="41">
        <v>46234</v>
      </c>
      <c r="C36" s="45" t="s">
        <v>91</v>
      </c>
      <c r="D36" s="46">
        <v>30</v>
      </c>
      <c r="E36" s="46" t="s">
        <v>29</v>
      </c>
      <c r="F36" s="46">
        <v>5</v>
      </c>
      <c r="G36" s="46">
        <v>1</v>
      </c>
      <c r="H36" s="46">
        <f>IFERROR(log_5[[#This Row],[Reps]]*log_5[[#This Row],[Sets]],"")</f>
        <v>5</v>
      </c>
      <c r="I36" s="46">
        <f>IFERROR(log_5[[#This Row],[Weight Value]]*log_5[[#This Row],[Reps]]*log_5[[#This Row],[Sets]],"")</f>
        <v>150</v>
      </c>
      <c r="J36" s="44"/>
    </row>
    <row r="37" spans="1:10" x14ac:dyDescent="0.3">
      <c r="A37" s="41">
        <v>46234</v>
      </c>
      <c r="B37" s="41">
        <v>46234</v>
      </c>
      <c r="C37" s="45" t="s">
        <v>91</v>
      </c>
      <c r="D37" s="46">
        <v>25</v>
      </c>
      <c r="E37" s="46" t="s">
        <v>29</v>
      </c>
      <c r="F37" s="46">
        <v>5</v>
      </c>
      <c r="G37" s="46">
        <v>3</v>
      </c>
      <c r="H37" s="46">
        <f>IFERROR(log_5[[#This Row],[Reps]]*log_5[[#This Row],[Sets]],"")</f>
        <v>15</v>
      </c>
      <c r="I37" s="46">
        <f>IFERROR(log_5[[#This Row],[Weight Value]]*log_5[[#This Row],[Reps]]*log_5[[#This Row],[Sets]],"")</f>
        <v>375</v>
      </c>
      <c r="J37" s="44" t="s">
        <v>110</v>
      </c>
    </row>
    <row r="38" spans="1:10" x14ac:dyDescent="0.3">
      <c r="A38" s="41">
        <v>46234</v>
      </c>
      <c r="B38" s="41">
        <v>46234</v>
      </c>
      <c r="C38" s="45" t="s">
        <v>10</v>
      </c>
      <c r="D38" s="46">
        <v>7.5</v>
      </c>
      <c r="E38" s="46" t="s">
        <v>29</v>
      </c>
      <c r="F38" s="46">
        <v>8</v>
      </c>
      <c r="G38" s="46">
        <v>4</v>
      </c>
      <c r="H38" s="46">
        <f>IFERROR(log_5[[#This Row],[Reps]]*log_5[[#This Row],[Sets]],"")</f>
        <v>32</v>
      </c>
      <c r="I38" s="46">
        <f>IFERROR(log_5[[#This Row],[Weight Value]]*log_5[[#This Row],[Reps]]*log_5[[#This Row],[Sets]],"")</f>
        <v>240</v>
      </c>
      <c r="J38" s="44"/>
    </row>
    <row r="39" spans="1:10" x14ac:dyDescent="0.3">
      <c r="A39" s="41">
        <v>46234</v>
      </c>
      <c r="B39" s="41">
        <v>46234</v>
      </c>
      <c r="C39" s="45" t="s">
        <v>13</v>
      </c>
      <c r="D39" s="46">
        <v>7.5</v>
      </c>
      <c r="E39" s="46" t="s">
        <v>29</v>
      </c>
      <c r="F39" s="46">
        <v>8</v>
      </c>
      <c r="G39" s="46">
        <v>4</v>
      </c>
      <c r="H39" s="46">
        <f>IFERROR(log_5[[#This Row],[Reps]]*log_5[[#This Row],[Sets]],"")</f>
        <v>32</v>
      </c>
      <c r="I39" s="46">
        <f>IFERROR(log_5[[#This Row],[Weight Value]]*log_5[[#This Row],[Reps]]*log_5[[#This Row],[Sets]],"")</f>
        <v>240</v>
      </c>
      <c r="J39" s="44"/>
    </row>
    <row r="40" spans="1:10" x14ac:dyDescent="0.3">
      <c r="A40" s="41">
        <v>46234</v>
      </c>
      <c r="B40" s="41">
        <v>46234</v>
      </c>
      <c r="C40" s="47" t="s">
        <v>99</v>
      </c>
      <c r="D40" s="46">
        <v>34</v>
      </c>
      <c r="E40" s="46" t="s">
        <v>29</v>
      </c>
      <c r="F40" s="46">
        <v>8</v>
      </c>
      <c r="G40" s="46">
        <v>3</v>
      </c>
      <c r="H40" s="46">
        <f>IFERROR(log_5[[#This Row],[Reps]]*log_5[[#This Row],[Sets]],"")</f>
        <v>24</v>
      </c>
      <c r="I40" s="46">
        <f>IFERROR(log_5[[#This Row],[Weight Value]]*log_5[[#This Row],[Reps]]*log_5[[#This Row],[Sets]],"")</f>
        <v>816</v>
      </c>
      <c r="J40" s="44"/>
    </row>
    <row r="41" spans="1:10" x14ac:dyDescent="0.3">
      <c r="A41" s="41">
        <v>46234</v>
      </c>
      <c r="B41" s="41">
        <v>46234</v>
      </c>
      <c r="C41" s="45" t="s">
        <v>45</v>
      </c>
      <c r="D41" s="46">
        <v>30</v>
      </c>
      <c r="E41" s="46" t="s">
        <v>29</v>
      </c>
      <c r="F41" s="46">
        <v>8</v>
      </c>
      <c r="G41" s="46">
        <v>3</v>
      </c>
      <c r="H41" s="46">
        <f>IFERROR(log_5[[#This Row],[Reps]]*log_5[[#This Row],[Sets]],"")</f>
        <v>24</v>
      </c>
      <c r="I41" s="46">
        <f>IFERROR(log_5[[#This Row],[Weight Value]]*log_5[[#This Row],[Reps]]*log_5[[#This Row],[Sets]],"")</f>
        <v>720</v>
      </c>
      <c r="J41" s="44"/>
    </row>
    <row r="42" spans="1:10" x14ac:dyDescent="0.3">
      <c r="A42" s="41">
        <v>46234</v>
      </c>
      <c r="B42" s="41">
        <v>46234</v>
      </c>
      <c r="C42" s="45" t="s">
        <v>45</v>
      </c>
      <c r="D42" s="46">
        <v>30</v>
      </c>
      <c r="E42" s="46" t="s">
        <v>29</v>
      </c>
      <c r="F42" s="46">
        <v>6</v>
      </c>
      <c r="G42" s="46">
        <v>1</v>
      </c>
      <c r="H42" s="46">
        <f>IFERROR(log_5[[#This Row],[Reps]]*log_5[[#This Row],[Sets]],"")</f>
        <v>6</v>
      </c>
      <c r="I42" s="46">
        <f>IFERROR(log_5[[#This Row],[Weight Value]]*log_5[[#This Row],[Reps]]*log_5[[#This Row],[Sets]],"")</f>
        <v>180</v>
      </c>
      <c r="J42" s="44"/>
    </row>
    <row r="43" spans="1:10" x14ac:dyDescent="0.3">
      <c r="A43" s="41"/>
      <c r="B43" s="41"/>
      <c r="C43" s="38"/>
      <c r="D43" s="37"/>
      <c r="E43" s="37"/>
      <c r="F43" s="37"/>
      <c r="G43" s="37"/>
      <c r="H43" s="46"/>
      <c r="I43" s="46"/>
      <c r="J43" s="36"/>
    </row>
    <row r="44" spans="1:10" x14ac:dyDescent="0.3">
      <c r="A44" s="41"/>
      <c r="B44" s="41"/>
      <c r="C44" s="34"/>
      <c r="D44" s="37"/>
      <c r="E44" s="37"/>
      <c r="F44" s="37"/>
      <c r="G44" s="37"/>
      <c r="H44" s="46"/>
      <c r="I44" s="46"/>
      <c r="J44" s="34"/>
    </row>
    <row r="45" spans="1:10" x14ac:dyDescent="0.3">
      <c r="A45" s="41"/>
      <c r="B45" s="41"/>
      <c r="C45" s="34"/>
      <c r="D45" s="37"/>
      <c r="E45" s="37"/>
      <c r="F45" s="37"/>
      <c r="G45" s="37"/>
      <c r="H45" s="46"/>
      <c r="I45" s="46"/>
      <c r="J45" s="34"/>
    </row>
    <row r="46" spans="1:10" x14ac:dyDescent="0.3">
      <c r="A46" s="41"/>
      <c r="B46" s="41"/>
      <c r="C46" s="34"/>
      <c r="D46" s="37"/>
      <c r="E46" s="37"/>
      <c r="F46" s="37"/>
      <c r="G46" s="37"/>
      <c r="H46" s="46"/>
      <c r="I46" s="46"/>
      <c r="J46" s="34"/>
    </row>
    <row r="47" spans="1:10" x14ac:dyDescent="0.3">
      <c r="A47" s="41"/>
      <c r="B47" s="41"/>
      <c r="C47" s="34"/>
      <c r="D47" s="37"/>
      <c r="E47" s="37"/>
      <c r="F47" s="37"/>
      <c r="G47" s="37"/>
      <c r="H47" s="46"/>
      <c r="I47" s="46"/>
      <c r="J47" s="34"/>
    </row>
    <row r="48" spans="1:10" x14ac:dyDescent="0.3">
      <c r="A48" s="41"/>
      <c r="B48" s="41"/>
      <c r="C48" s="34"/>
      <c r="D48" s="37"/>
      <c r="E48" s="37"/>
      <c r="F48" s="37"/>
      <c r="G48" s="37"/>
      <c r="H48" s="46"/>
      <c r="I48" s="46"/>
      <c r="J48" s="34"/>
    </row>
    <row r="49" spans="1:10" x14ac:dyDescent="0.3">
      <c r="A49" s="35"/>
      <c r="B49" s="35"/>
      <c r="C49" s="34"/>
      <c r="D49" s="37"/>
      <c r="E49" s="37"/>
      <c r="F49" s="37"/>
      <c r="G49" s="37"/>
      <c r="H49" s="46"/>
      <c r="I49" s="46"/>
      <c r="J49" s="34"/>
    </row>
    <row r="50" spans="1:10" x14ac:dyDescent="0.3">
      <c r="A50" s="35"/>
      <c r="B50" s="35"/>
      <c r="C50" s="34"/>
      <c r="D50" s="37"/>
      <c r="E50" s="37"/>
      <c r="F50" s="37"/>
      <c r="G50" s="37"/>
      <c r="H50" s="46"/>
      <c r="I50" s="46"/>
      <c r="J50" s="34"/>
    </row>
    <row r="51" spans="1:10" x14ac:dyDescent="0.3">
      <c r="A51" s="35"/>
      <c r="B51" s="35"/>
      <c r="C51" s="34"/>
      <c r="D51" s="37"/>
      <c r="E51" s="37"/>
      <c r="F51" s="37"/>
      <c r="G51" s="37"/>
      <c r="H51" s="46"/>
      <c r="I51" s="46"/>
      <c r="J51" s="34"/>
    </row>
    <row r="52" spans="1:10" x14ac:dyDescent="0.3">
      <c r="A52" s="35"/>
      <c r="B52" s="35"/>
      <c r="C52" s="38"/>
      <c r="D52" s="37"/>
      <c r="E52" s="37"/>
      <c r="F52" s="37"/>
      <c r="G52" s="37"/>
      <c r="H52" s="46"/>
      <c r="I52" s="46"/>
      <c r="J52" s="34"/>
    </row>
    <row r="53" spans="1:10" x14ac:dyDescent="0.3">
      <c r="A53" s="35"/>
      <c r="B53" s="35"/>
      <c r="C53" s="34"/>
      <c r="D53" s="39"/>
      <c r="E53" s="39"/>
      <c r="F53" s="37"/>
      <c r="G53" s="37"/>
      <c r="H53" s="46"/>
      <c r="I53" s="46"/>
      <c r="J53" s="34"/>
    </row>
    <row r="54" spans="1:10" x14ac:dyDescent="0.3">
      <c r="A54" s="35"/>
      <c r="B54" s="35"/>
      <c r="C54" s="34"/>
      <c r="D54" s="37"/>
      <c r="E54" s="37"/>
      <c r="F54" s="37"/>
      <c r="G54" s="37"/>
      <c r="H54" s="46"/>
      <c r="I54" s="46"/>
      <c r="J54" s="34"/>
    </row>
    <row r="55" spans="1:10" x14ac:dyDescent="0.3">
      <c r="A55" s="35"/>
      <c r="B55" s="35"/>
      <c r="C55" s="34"/>
      <c r="D55" s="37"/>
      <c r="E55" s="37"/>
      <c r="F55" s="37"/>
      <c r="G55" s="37"/>
      <c r="H55" s="46"/>
      <c r="I55" s="46"/>
      <c r="J55" s="34"/>
    </row>
    <row r="56" spans="1:10" x14ac:dyDescent="0.3">
      <c r="A56" s="35"/>
      <c r="B56" s="35"/>
      <c r="C56" s="34"/>
      <c r="D56" s="37"/>
      <c r="E56" s="37"/>
      <c r="F56" s="37"/>
      <c r="G56" s="37"/>
      <c r="H56" s="46"/>
      <c r="I56" s="46"/>
      <c r="J56" s="34"/>
    </row>
    <row r="57" spans="1:10" x14ac:dyDescent="0.3">
      <c r="A57" s="35"/>
      <c r="B57" s="35"/>
      <c r="C57" s="34"/>
      <c r="D57" s="37"/>
      <c r="E57" s="37"/>
      <c r="F57" s="37"/>
      <c r="G57" s="37"/>
      <c r="H57" s="46"/>
      <c r="I57" s="46"/>
      <c r="J57" s="34"/>
    </row>
    <row r="58" spans="1:10" x14ac:dyDescent="0.3">
      <c r="A58" s="35"/>
      <c r="B58" s="35"/>
      <c r="C58" s="34"/>
      <c r="D58" s="37"/>
      <c r="E58" s="37"/>
      <c r="F58" s="37"/>
      <c r="G58" s="37"/>
      <c r="H58" s="46"/>
      <c r="I58" s="46"/>
      <c r="J58" s="34"/>
    </row>
    <row r="59" spans="1:10" x14ac:dyDescent="0.3">
      <c r="A59" s="35"/>
      <c r="B59" s="35"/>
      <c r="C59" s="34"/>
      <c r="D59" s="37"/>
      <c r="E59" s="37"/>
      <c r="F59" s="37"/>
      <c r="G59" s="37"/>
      <c r="H59" s="46"/>
      <c r="I59" s="46"/>
      <c r="J59" s="34"/>
    </row>
    <row r="60" spans="1:10" x14ac:dyDescent="0.3">
      <c r="A60" s="35"/>
      <c r="B60" s="35"/>
      <c r="C60" s="34"/>
      <c r="D60" s="37"/>
      <c r="E60" s="37"/>
      <c r="F60" s="37"/>
      <c r="G60" s="37"/>
      <c r="H60" s="46"/>
      <c r="I60" s="46"/>
      <c r="J60" s="34"/>
    </row>
    <row r="61" spans="1:10" x14ac:dyDescent="0.3">
      <c r="A61" s="35"/>
      <c r="B61" s="35"/>
      <c r="C61" s="34"/>
      <c r="D61" s="37"/>
      <c r="E61" s="37"/>
      <c r="F61" s="37"/>
      <c r="G61" s="37"/>
      <c r="H61" s="46"/>
      <c r="I61" s="46"/>
      <c r="J61" s="34"/>
    </row>
    <row r="62" spans="1:10" x14ac:dyDescent="0.3">
      <c r="A62" s="35"/>
      <c r="B62" s="35"/>
      <c r="C62" s="38"/>
      <c r="D62" s="37"/>
      <c r="E62" s="37"/>
      <c r="F62" s="37"/>
      <c r="G62" s="37"/>
      <c r="H62" s="46"/>
      <c r="I62" s="46"/>
      <c r="J62" s="34"/>
    </row>
    <row r="63" spans="1:10" x14ac:dyDescent="0.3">
      <c r="A63" s="35"/>
      <c r="B63" s="35"/>
      <c r="C63" s="34"/>
      <c r="D63" s="37"/>
      <c r="E63" s="37"/>
      <c r="F63" s="37"/>
      <c r="G63" s="37"/>
      <c r="H63" s="46"/>
      <c r="I63" s="46"/>
      <c r="J63" s="34"/>
    </row>
    <row r="64" spans="1:10" x14ac:dyDescent="0.3">
      <c r="A64" s="35"/>
      <c r="B64" s="35"/>
      <c r="C64" s="34"/>
      <c r="D64" s="37"/>
      <c r="E64" s="37"/>
      <c r="F64" s="37"/>
      <c r="G64" s="37"/>
      <c r="H64" s="46"/>
      <c r="I64" s="46"/>
      <c r="J64" s="34"/>
    </row>
    <row r="65" spans="1:10" x14ac:dyDescent="0.3">
      <c r="A65" s="35"/>
      <c r="B65" s="35"/>
      <c r="C65" s="34"/>
      <c r="D65" s="37"/>
      <c r="E65" s="37"/>
      <c r="F65" s="37"/>
      <c r="G65" s="37"/>
      <c r="H65" s="46"/>
      <c r="I65" s="46"/>
      <c r="J65" s="34"/>
    </row>
    <row r="66" spans="1:10" x14ac:dyDescent="0.3">
      <c r="A66" s="35"/>
      <c r="B66" s="35"/>
      <c r="C66" s="34"/>
      <c r="D66" s="37"/>
      <c r="E66" s="37"/>
      <c r="F66" s="37"/>
      <c r="G66" s="37"/>
      <c r="H66" s="46"/>
      <c r="I66" s="46"/>
      <c r="J66" s="34"/>
    </row>
    <row r="67" spans="1:10" x14ac:dyDescent="0.3">
      <c r="A67" s="35"/>
      <c r="B67" s="35"/>
      <c r="C67" s="34"/>
      <c r="D67" s="37"/>
      <c r="E67" s="37"/>
      <c r="F67" s="37"/>
      <c r="G67" s="37"/>
      <c r="H67" s="46"/>
      <c r="I67" s="46"/>
      <c r="J67" s="34"/>
    </row>
    <row r="68" spans="1:10" x14ac:dyDescent="0.3">
      <c r="A68" s="35"/>
      <c r="B68" s="35"/>
      <c r="C68" s="34"/>
      <c r="D68" s="37"/>
      <c r="E68" s="37"/>
      <c r="F68" s="37"/>
      <c r="G68" s="37"/>
      <c r="H68" s="46"/>
      <c r="I68" s="46"/>
      <c r="J68" s="34"/>
    </row>
    <row r="69" spans="1:10" x14ac:dyDescent="0.3">
      <c r="A69" s="35"/>
      <c r="B69" s="35"/>
      <c r="C69" s="34"/>
      <c r="D69" s="37"/>
      <c r="E69" s="37"/>
      <c r="F69" s="37"/>
      <c r="G69" s="37"/>
      <c r="H69" s="46"/>
      <c r="I69" s="46"/>
      <c r="J69" s="34"/>
    </row>
    <row r="70" spans="1:10" x14ac:dyDescent="0.3">
      <c r="A70" s="35"/>
      <c r="B70" s="35"/>
      <c r="C70" s="38"/>
      <c r="D70" s="37"/>
      <c r="E70" s="37"/>
      <c r="F70" s="37"/>
      <c r="G70" s="37"/>
      <c r="H70" s="46"/>
      <c r="I70" s="46"/>
      <c r="J70" s="34"/>
    </row>
    <row r="71" spans="1:10" x14ac:dyDescent="0.3">
      <c r="A71" s="35"/>
      <c r="B71" s="35"/>
      <c r="C71" s="34"/>
      <c r="D71" s="37"/>
      <c r="E71" s="37"/>
      <c r="F71" s="37"/>
      <c r="G71" s="37"/>
      <c r="H71" s="46"/>
      <c r="I71" s="46"/>
      <c r="J71" s="34"/>
    </row>
    <row r="72" spans="1:10" x14ac:dyDescent="0.3">
      <c r="A72" s="35"/>
      <c r="B72" s="35"/>
      <c r="C72" s="34"/>
      <c r="D72" s="37"/>
      <c r="E72" s="37"/>
      <c r="F72" s="37"/>
      <c r="G72" s="37"/>
      <c r="H72" s="46"/>
      <c r="I72" s="46"/>
      <c r="J72" s="34"/>
    </row>
    <row r="73" spans="1:10" x14ac:dyDescent="0.3">
      <c r="A73" s="35"/>
      <c r="B73" s="35"/>
      <c r="C73" s="34"/>
      <c r="D73" s="37"/>
      <c r="E73" s="37"/>
      <c r="F73" s="37"/>
      <c r="G73" s="37"/>
      <c r="H73" s="46"/>
      <c r="I73" s="46"/>
      <c r="J73" s="34"/>
    </row>
    <row r="74" spans="1:10" x14ac:dyDescent="0.3">
      <c r="A74" s="35"/>
      <c r="B74" s="35"/>
      <c r="C74" s="34"/>
      <c r="D74" s="37"/>
      <c r="E74" s="37"/>
      <c r="F74" s="37"/>
      <c r="G74" s="37"/>
      <c r="H74" s="46"/>
      <c r="I74" s="46"/>
      <c r="J74" s="34"/>
    </row>
    <row r="75" spans="1:10" x14ac:dyDescent="0.3">
      <c r="A75" s="35"/>
      <c r="B75" s="35"/>
      <c r="C75" s="34"/>
      <c r="D75" s="37"/>
      <c r="E75" s="37"/>
      <c r="F75" s="37"/>
      <c r="G75" s="37"/>
      <c r="H75" s="46"/>
      <c r="I75" s="46"/>
      <c r="J75" s="34"/>
    </row>
    <row r="76" spans="1:10" x14ac:dyDescent="0.3">
      <c r="A76" s="35"/>
      <c r="B76" s="35"/>
      <c r="C76" s="34"/>
      <c r="D76" s="37"/>
      <c r="E76" s="37"/>
      <c r="F76" s="37"/>
      <c r="G76" s="37"/>
      <c r="H76" s="46"/>
      <c r="I76" s="46"/>
      <c r="J76" s="34"/>
    </row>
    <row r="77" spans="1:10" x14ac:dyDescent="0.3">
      <c r="A77" s="35"/>
      <c r="B77" s="35"/>
      <c r="C77" s="34"/>
      <c r="D77" s="37"/>
      <c r="E77" s="37"/>
      <c r="F77" s="37"/>
      <c r="G77" s="37"/>
      <c r="H77" s="46"/>
      <c r="I77" s="46"/>
      <c r="J77" s="34"/>
    </row>
    <row r="78" spans="1:10" x14ac:dyDescent="0.3">
      <c r="A78" s="35"/>
      <c r="B78" s="35"/>
      <c r="C78" s="34"/>
      <c r="D78" s="37"/>
      <c r="E78" s="39"/>
      <c r="F78" s="37"/>
      <c r="G78" s="37"/>
      <c r="H78" s="46"/>
      <c r="I78" s="46"/>
      <c r="J78" s="39"/>
    </row>
    <row r="79" spans="1:10" x14ac:dyDescent="0.3">
      <c r="A79" s="35"/>
      <c r="B79" s="35"/>
      <c r="C79" s="38"/>
      <c r="D79" s="37"/>
      <c r="E79" s="37"/>
      <c r="F79" s="37"/>
      <c r="G79" s="37"/>
      <c r="H79" s="46"/>
      <c r="I79" s="46"/>
      <c r="J79" s="34"/>
    </row>
    <row r="80" spans="1:10" x14ac:dyDescent="0.3">
      <c r="A80" s="35"/>
      <c r="B80" s="35"/>
      <c r="C80" s="34"/>
      <c r="D80" s="37"/>
      <c r="E80" s="37"/>
      <c r="F80" s="37"/>
      <c r="G80" s="37"/>
      <c r="H80" s="46"/>
      <c r="I80" s="46"/>
      <c r="J80" s="34"/>
    </row>
    <row r="81" spans="1:10" x14ac:dyDescent="0.3">
      <c r="A81" s="35"/>
      <c r="B81" s="35"/>
      <c r="C81" s="34"/>
      <c r="D81" s="37"/>
      <c r="E81" s="37"/>
      <c r="F81" s="37"/>
      <c r="G81" s="37"/>
      <c r="H81" s="46"/>
      <c r="I81" s="46"/>
      <c r="J81" s="34"/>
    </row>
    <row r="82" spans="1:10" x14ac:dyDescent="0.3">
      <c r="A82" s="35"/>
      <c r="B82" s="35"/>
      <c r="C82" s="34"/>
      <c r="D82" s="37"/>
      <c r="E82" s="37"/>
      <c r="F82" s="37"/>
      <c r="G82" s="37"/>
      <c r="H82" s="46"/>
      <c r="I82" s="46"/>
      <c r="J82" s="34"/>
    </row>
    <row r="83" spans="1:10" x14ac:dyDescent="0.3">
      <c r="A83" s="35"/>
      <c r="B83" s="35"/>
      <c r="C83" s="34"/>
      <c r="D83" s="37"/>
      <c r="E83" s="37"/>
      <c r="F83" s="37"/>
      <c r="G83" s="37"/>
      <c r="H83" s="46"/>
      <c r="I83" s="46"/>
      <c r="J83" s="34"/>
    </row>
    <row r="84" spans="1:10" x14ac:dyDescent="0.3">
      <c r="A84" s="35"/>
      <c r="B84" s="35"/>
      <c r="C84" s="34"/>
      <c r="D84" s="37"/>
      <c r="E84" s="37"/>
      <c r="F84" s="37"/>
      <c r="G84" s="37"/>
      <c r="H84" s="46"/>
      <c r="I84" s="46"/>
      <c r="J84" s="34"/>
    </row>
    <row r="85" spans="1:10" x14ac:dyDescent="0.3">
      <c r="A85" s="35"/>
      <c r="B85" s="35"/>
      <c r="C85" s="38"/>
      <c r="D85" s="37"/>
      <c r="E85" s="37"/>
      <c r="F85" s="37"/>
      <c r="G85" s="37"/>
      <c r="H85" s="46"/>
      <c r="I85" s="46"/>
      <c r="J85" s="34"/>
    </row>
    <row r="86" spans="1:10" x14ac:dyDescent="0.3">
      <c r="A86" s="35"/>
      <c r="B86" s="35"/>
      <c r="C86" s="34"/>
      <c r="D86" s="37"/>
      <c r="E86" s="37"/>
      <c r="F86" s="37"/>
      <c r="G86" s="37"/>
      <c r="H86" s="46"/>
      <c r="I86" s="46"/>
      <c r="J86" s="34"/>
    </row>
    <row r="87" spans="1:10" x14ac:dyDescent="0.3">
      <c r="A87" s="35"/>
      <c r="B87" s="35"/>
      <c r="C87" s="34"/>
      <c r="D87" s="37"/>
      <c r="E87" s="37"/>
      <c r="F87" s="37"/>
      <c r="G87" s="37"/>
      <c r="H87" s="46"/>
      <c r="I87" s="46"/>
      <c r="J87" s="34"/>
    </row>
    <row r="88" spans="1:10" x14ac:dyDescent="0.3">
      <c r="A88" s="35"/>
      <c r="B88" s="35"/>
      <c r="C88" s="34"/>
      <c r="D88" s="37"/>
      <c r="E88" s="37"/>
      <c r="F88" s="37"/>
      <c r="G88" s="37"/>
      <c r="H88" s="46"/>
      <c r="I88" s="46"/>
      <c r="J88" s="37"/>
    </row>
    <row r="89" spans="1:10" x14ac:dyDescent="0.3">
      <c r="A89" s="35"/>
      <c r="B89" s="35"/>
      <c r="C89" s="34"/>
      <c r="D89" s="37"/>
      <c r="E89" s="37"/>
      <c r="F89" s="37"/>
      <c r="G89" s="37"/>
      <c r="H89" s="46"/>
      <c r="I89" s="46"/>
      <c r="J89" s="34"/>
    </row>
    <row r="90" spans="1:10" x14ac:dyDescent="0.3">
      <c r="A90" s="35"/>
      <c r="B90" s="35"/>
      <c r="C90" s="34"/>
      <c r="D90" s="37"/>
      <c r="E90" s="37"/>
      <c r="F90" s="37"/>
      <c r="G90" s="37"/>
      <c r="H90" s="46"/>
      <c r="I90" s="46"/>
      <c r="J90" s="34"/>
    </row>
    <row r="91" spans="1:10" x14ac:dyDescent="0.3">
      <c r="A91" s="35"/>
      <c r="B91" s="35"/>
      <c r="C91" s="34"/>
      <c r="D91" s="37"/>
      <c r="E91" s="37"/>
      <c r="F91" s="37"/>
      <c r="G91" s="37"/>
      <c r="H91" s="46"/>
      <c r="I91" s="46"/>
      <c r="J91" s="34"/>
    </row>
    <row r="92" spans="1:10" x14ac:dyDescent="0.3">
      <c r="A92" s="35"/>
      <c r="B92" s="35"/>
      <c r="C92" s="34"/>
      <c r="D92" s="37"/>
      <c r="E92" s="37"/>
      <c r="F92" s="37"/>
      <c r="G92" s="37"/>
      <c r="H92" s="46"/>
      <c r="I92" s="46"/>
      <c r="J92" s="34"/>
    </row>
    <row r="93" spans="1:10" x14ac:dyDescent="0.3">
      <c r="A93" s="35"/>
      <c r="B93" s="35"/>
      <c r="C93" s="38"/>
      <c r="D93" s="37"/>
      <c r="E93" s="37"/>
      <c r="F93" s="37"/>
      <c r="G93" s="37"/>
      <c r="H93" s="46"/>
      <c r="I93" s="46"/>
      <c r="J93" s="34"/>
    </row>
    <row r="94" spans="1:10" x14ac:dyDescent="0.3">
      <c r="A94" s="35"/>
      <c r="B94" s="35"/>
      <c r="C94" s="34"/>
      <c r="D94" s="37"/>
      <c r="E94" s="37"/>
      <c r="F94" s="37"/>
      <c r="G94" s="37"/>
      <c r="H94" s="46"/>
      <c r="I94" s="46"/>
      <c r="J94" s="34"/>
    </row>
    <row r="95" spans="1:10" x14ac:dyDescent="0.3">
      <c r="A95" s="35"/>
      <c r="B95" s="35"/>
      <c r="C95" s="34"/>
      <c r="D95" s="37"/>
      <c r="E95" s="37"/>
      <c r="F95" s="37"/>
      <c r="G95" s="37"/>
      <c r="H95" s="46"/>
      <c r="I95" s="46"/>
      <c r="J95" s="34"/>
    </row>
    <row r="96" spans="1:10" x14ac:dyDescent="0.3">
      <c r="A96" s="35"/>
      <c r="B96" s="35"/>
      <c r="C96" s="34"/>
      <c r="D96" s="37"/>
      <c r="E96" s="37"/>
      <c r="F96" s="37"/>
      <c r="G96" s="37"/>
      <c r="H96" s="46"/>
      <c r="I96" s="46"/>
      <c r="J96" s="34"/>
    </row>
    <row r="97" spans="1:10" x14ac:dyDescent="0.3">
      <c r="A97" s="35"/>
      <c r="B97" s="35"/>
      <c r="C97" s="34"/>
      <c r="D97" s="37"/>
      <c r="E97" s="37"/>
      <c r="F97" s="37"/>
      <c r="G97" s="37"/>
      <c r="H97" s="46"/>
      <c r="I97" s="46"/>
      <c r="J97" s="37"/>
    </row>
    <row r="98" spans="1:10" x14ac:dyDescent="0.3">
      <c r="A98" s="40"/>
      <c r="B98" s="40"/>
      <c r="C98" s="34"/>
      <c r="D98" s="37"/>
      <c r="E98" s="37"/>
      <c r="F98" s="37"/>
      <c r="G98" s="37"/>
      <c r="H98" s="46"/>
      <c r="I98" s="46"/>
      <c r="J98" s="34"/>
    </row>
    <row r="99" spans="1:10" x14ac:dyDescent="0.3">
      <c r="A99" s="40"/>
      <c r="B99" s="40"/>
      <c r="C99" s="34"/>
      <c r="D99" s="37"/>
      <c r="E99" s="37"/>
      <c r="F99" s="37"/>
      <c r="G99" s="37"/>
      <c r="H99" s="46"/>
      <c r="I99" s="46"/>
      <c r="J99" s="34"/>
    </row>
    <row r="100" spans="1:10" x14ac:dyDescent="0.3">
      <c r="A100" s="40"/>
      <c r="B100" s="40"/>
      <c r="C100" s="34"/>
      <c r="D100" s="37"/>
      <c r="E100" s="37"/>
      <c r="F100" s="37"/>
      <c r="G100" s="37"/>
      <c r="H100" s="46"/>
      <c r="I100" s="46"/>
      <c r="J100" s="34"/>
    </row>
    <row r="101" spans="1:10" x14ac:dyDescent="0.3">
      <c r="A101" s="40"/>
      <c r="B101" s="40"/>
      <c r="C101" s="34"/>
      <c r="D101" s="37"/>
      <c r="E101" s="37"/>
      <c r="F101" s="37"/>
      <c r="G101" s="37"/>
      <c r="H101" s="46"/>
      <c r="I101" s="46"/>
      <c r="J101" s="34"/>
    </row>
    <row r="102" spans="1:10" x14ac:dyDescent="0.3">
      <c r="A102" s="40"/>
      <c r="B102" s="40"/>
      <c r="C102" s="38"/>
      <c r="D102" s="37"/>
      <c r="E102" s="37"/>
      <c r="F102" s="37"/>
      <c r="G102" s="37"/>
      <c r="H102" s="46"/>
      <c r="I102" s="46"/>
      <c r="J102" s="34"/>
    </row>
    <row r="103" spans="1:10" x14ac:dyDescent="0.3">
      <c r="A103" s="40"/>
      <c r="B103" s="40"/>
      <c r="C103" s="34"/>
      <c r="D103" s="37"/>
      <c r="E103" s="37"/>
      <c r="F103" s="37"/>
      <c r="G103" s="37"/>
      <c r="H103" s="46"/>
      <c r="I103" s="46"/>
      <c r="J103" s="34"/>
    </row>
    <row r="104" spans="1:10" x14ac:dyDescent="0.3">
      <c r="A104" s="40"/>
      <c r="B104" s="40"/>
      <c r="C104" s="34"/>
      <c r="D104" s="37"/>
      <c r="E104" s="37"/>
      <c r="F104" s="37"/>
      <c r="G104" s="37"/>
      <c r="H104" s="46"/>
      <c r="I104" s="46"/>
      <c r="J104" s="34"/>
    </row>
    <row r="105" spans="1:10" x14ac:dyDescent="0.3">
      <c r="A105" s="40"/>
      <c r="B105" s="40"/>
      <c r="C105" s="38"/>
      <c r="D105" s="37"/>
      <c r="E105" s="37"/>
      <c r="F105" s="37"/>
      <c r="G105" s="37"/>
      <c r="H105" s="46"/>
      <c r="I105" s="46"/>
      <c r="J105" s="34"/>
    </row>
    <row r="106" spans="1:10" x14ac:dyDescent="0.3">
      <c r="A106" s="40"/>
      <c r="B106" s="40"/>
      <c r="C106" s="34"/>
      <c r="D106" s="37"/>
      <c r="E106" s="37"/>
      <c r="F106" s="37"/>
      <c r="G106" s="37"/>
      <c r="H106" s="46"/>
      <c r="I106" s="46"/>
      <c r="J106" s="37"/>
    </row>
    <row r="107" spans="1:10" x14ac:dyDescent="0.3">
      <c r="A107" s="40"/>
      <c r="B107" s="40"/>
      <c r="C107" s="34"/>
      <c r="D107" s="37"/>
      <c r="E107" s="37"/>
      <c r="F107" s="37"/>
      <c r="G107" s="37"/>
      <c r="H107" s="46"/>
      <c r="I107" s="46"/>
      <c r="J107" s="34"/>
    </row>
    <row r="108" spans="1:10" x14ac:dyDescent="0.3">
      <c r="A108" s="40"/>
      <c r="B108" s="40"/>
      <c r="C108" s="34"/>
      <c r="D108" s="37"/>
      <c r="E108" s="37"/>
      <c r="F108" s="37"/>
      <c r="G108" s="37"/>
      <c r="H108" s="46"/>
      <c r="I108" s="46"/>
      <c r="J108" s="34"/>
    </row>
    <row r="109" spans="1:10" x14ac:dyDescent="0.3">
      <c r="A109" s="40"/>
      <c r="B109" s="40"/>
      <c r="C109" s="34"/>
      <c r="D109" s="37"/>
      <c r="E109" s="37"/>
      <c r="F109" s="37"/>
      <c r="G109" s="37"/>
      <c r="H109" s="46"/>
      <c r="I109" s="46"/>
      <c r="J109" s="34"/>
    </row>
    <row r="110" spans="1:10" x14ac:dyDescent="0.3">
      <c r="A110" s="40"/>
      <c r="B110" s="40"/>
      <c r="C110" s="34"/>
      <c r="D110" s="37"/>
      <c r="E110" s="37"/>
      <c r="F110" s="37"/>
      <c r="G110" s="37"/>
      <c r="H110" s="46"/>
      <c r="I110" s="46"/>
      <c r="J110" s="34"/>
    </row>
    <row r="111" spans="1:10" x14ac:dyDescent="0.3">
      <c r="A111" s="40"/>
      <c r="B111" s="40"/>
      <c r="C111" s="34"/>
      <c r="D111" s="37"/>
      <c r="E111" s="37"/>
      <c r="F111" s="37"/>
      <c r="G111" s="37"/>
      <c r="H111" s="46"/>
      <c r="I111" s="46"/>
      <c r="J111" s="34"/>
    </row>
    <row r="112" spans="1:10" x14ac:dyDescent="0.3">
      <c r="A112" s="40"/>
      <c r="B112" s="40"/>
      <c r="C112" s="34"/>
      <c r="D112" s="37"/>
      <c r="E112" s="37"/>
      <c r="F112" s="37"/>
      <c r="G112" s="37"/>
      <c r="H112" s="46"/>
      <c r="I112" s="46"/>
      <c r="J112" s="34"/>
    </row>
    <row r="113" spans="1:10" x14ac:dyDescent="0.3">
      <c r="A113" s="40"/>
      <c r="B113" s="40"/>
      <c r="C113" s="34"/>
      <c r="D113" s="37"/>
      <c r="E113" s="37"/>
      <c r="F113" s="37"/>
      <c r="G113" s="37"/>
      <c r="H113" s="46"/>
      <c r="I113" s="46"/>
      <c r="J113" s="34"/>
    </row>
    <row r="114" spans="1:10" x14ac:dyDescent="0.3">
      <c r="A114" s="40"/>
      <c r="B114" s="40"/>
      <c r="C114" s="34"/>
      <c r="D114" s="37"/>
      <c r="E114" s="37"/>
      <c r="F114" s="37"/>
      <c r="G114" s="37"/>
      <c r="H114" s="46"/>
      <c r="I114" s="46"/>
      <c r="J114" s="34"/>
    </row>
    <row r="115" spans="1:10" x14ac:dyDescent="0.3">
      <c r="A115" s="40"/>
      <c r="B115" s="40"/>
      <c r="C115" s="34"/>
      <c r="D115" s="37"/>
      <c r="E115" s="37"/>
      <c r="F115" s="37"/>
      <c r="G115" s="37"/>
      <c r="H115" s="46"/>
      <c r="I115" s="46"/>
      <c r="J115" s="34"/>
    </row>
    <row r="116" spans="1:10" x14ac:dyDescent="0.3">
      <c r="A116" s="40"/>
      <c r="B116" s="40"/>
      <c r="C116" s="34"/>
      <c r="D116" s="37"/>
      <c r="E116" s="37"/>
      <c r="F116" s="37"/>
      <c r="G116" s="37"/>
      <c r="H116" s="46"/>
      <c r="I116" s="46"/>
      <c r="J116" s="34"/>
    </row>
    <row r="117" spans="1:10" x14ac:dyDescent="0.3">
      <c r="A117" s="40"/>
      <c r="B117" s="40"/>
      <c r="C117" s="34"/>
      <c r="D117" s="37"/>
      <c r="E117" s="37"/>
      <c r="F117" s="37"/>
      <c r="G117" s="37"/>
      <c r="H117" s="46"/>
      <c r="I117" s="46"/>
      <c r="J117" s="34"/>
    </row>
    <row r="118" spans="1:10" x14ac:dyDescent="0.3">
      <c r="A118" s="40"/>
      <c r="B118" s="40"/>
      <c r="C118" s="34"/>
      <c r="D118" s="37"/>
      <c r="E118" s="37"/>
      <c r="F118" s="37"/>
      <c r="G118" s="37"/>
      <c r="H118" s="46"/>
      <c r="I118" s="46"/>
      <c r="J118" s="34"/>
    </row>
    <row r="119" spans="1:10" x14ac:dyDescent="0.3">
      <c r="A119" s="40"/>
      <c r="B119" s="40"/>
      <c r="C119" s="34"/>
      <c r="D119" s="37"/>
      <c r="E119" s="37"/>
      <c r="F119" s="37"/>
      <c r="G119" s="37"/>
      <c r="H119" s="46"/>
      <c r="I119" s="46"/>
      <c r="J119" s="34"/>
    </row>
    <row r="120" spans="1:10" x14ac:dyDescent="0.3">
      <c r="A120" s="40"/>
      <c r="B120" s="40"/>
      <c r="C120" s="34"/>
      <c r="D120" s="37"/>
      <c r="E120" s="37"/>
      <c r="F120" s="37"/>
      <c r="G120" s="37"/>
      <c r="H120" s="46"/>
      <c r="I120" s="46"/>
      <c r="J120" s="34"/>
    </row>
    <row r="121" spans="1:10" x14ac:dyDescent="0.3">
      <c r="A121" s="40"/>
      <c r="B121" s="40"/>
      <c r="C121" s="34"/>
      <c r="D121" s="37"/>
      <c r="E121" s="37"/>
      <c r="F121" s="37"/>
      <c r="G121" s="37"/>
      <c r="H121" s="46"/>
      <c r="I121" s="46"/>
      <c r="J121" s="34"/>
    </row>
    <row r="122" spans="1:10" x14ac:dyDescent="0.3">
      <c r="A122" s="40"/>
      <c r="B122" s="40"/>
      <c r="C122" s="34"/>
      <c r="D122" s="37"/>
      <c r="E122" s="37"/>
      <c r="F122" s="37"/>
      <c r="G122" s="37"/>
      <c r="H122" s="46"/>
      <c r="I122" s="46"/>
      <c r="J122" s="34"/>
    </row>
    <row r="123" spans="1:10" x14ac:dyDescent="0.3">
      <c r="A123" s="40"/>
      <c r="B123" s="40"/>
      <c r="C123" s="34"/>
      <c r="D123" s="37"/>
      <c r="E123" s="37"/>
      <c r="F123" s="37"/>
      <c r="G123" s="37"/>
      <c r="H123" s="46"/>
      <c r="I123" s="46"/>
      <c r="J123" s="34"/>
    </row>
    <row r="124" spans="1:10" x14ac:dyDescent="0.3">
      <c r="A124" s="40"/>
      <c r="B124" s="40"/>
      <c r="C124" s="34"/>
      <c r="D124" s="37"/>
      <c r="E124" s="37"/>
      <c r="F124" s="37"/>
      <c r="G124" s="37"/>
      <c r="H124" s="46"/>
      <c r="I124" s="46"/>
      <c r="J124" s="34"/>
    </row>
    <row r="125" spans="1:10" x14ac:dyDescent="0.3">
      <c r="A125" s="40"/>
      <c r="B125" s="40"/>
      <c r="C125" s="34"/>
      <c r="D125" s="37"/>
      <c r="E125" s="37"/>
      <c r="F125" s="37"/>
      <c r="G125" s="37"/>
      <c r="H125" s="46"/>
      <c r="I125" s="46"/>
      <c r="J125" s="34"/>
    </row>
    <row r="126" spans="1:10" x14ac:dyDescent="0.3">
      <c r="A126" s="40"/>
      <c r="B126" s="40"/>
      <c r="C126" s="34"/>
      <c r="D126" s="37"/>
      <c r="E126" s="37"/>
      <c r="F126" s="37"/>
      <c r="G126" s="37"/>
      <c r="H126" s="46"/>
      <c r="I126" s="46"/>
      <c r="J126" s="34"/>
    </row>
    <row r="127" spans="1:10" x14ac:dyDescent="0.3">
      <c r="A127" s="40"/>
      <c r="B127" s="40"/>
      <c r="C127" s="34"/>
      <c r="D127" s="37"/>
      <c r="E127" s="37"/>
      <c r="F127" s="37"/>
      <c r="G127" s="37"/>
      <c r="H127" s="46"/>
      <c r="I127" s="46"/>
      <c r="J127" s="34"/>
    </row>
    <row r="128" spans="1:10" x14ac:dyDescent="0.3">
      <c r="A128" s="40"/>
      <c r="B128" s="40"/>
      <c r="C128" s="34"/>
      <c r="D128" s="37"/>
      <c r="E128" s="37"/>
      <c r="F128" s="37"/>
      <c r="G128" s="37"/>
      <c r="H128" s="46"/>
      <c r="I128" s="46"/>
      <c r="J128" s="34"/>
    </row>
    <row r="129" spans="1:10" x14ac:dyDescent="0.3">
      <c r="A129" s="40"/>
      <c r="B129" s="40"/>
      <c r="C129" s="34"/>
      <c r="D129" s="37"/>
      <c r="E129" s="37"/>
      <c r="F129" s="37"/>
      <c r="G129" s="37"/>
      <c r="H129" s="46"/>
      <c r="I129" s="46"/>
      <c r="J129" s="34"/>
    </row>
    <row r="130" spans="1:10" x14ac:dyDescent="0.3">
      <c r="A130" s="40"/>
      <c r="B130" s="40"/>
      <c r="C130" s="34"/>
      <c r="D130" s="37"/>
      <c r="E130" s="37"/>
      <c r="F130" s="37"/>
      <c r="G130" s="37"/>
      <c r="H130" s="46"/>
      <c r="I130" s="46"/>
      <c r="J130" s="34"/>
    </row>
    <row r="131" spans="1:10" x14ac:dyDescent="0.3">
      <c r="A131" s="40"/>
      <c r="B131" s="40"/>
      <c r="C131" s="34"/>
      <c r="D131" s="37"/>
      <c r="E131" s="37"/>
      <c r="F131" s="37"/>
      <c r="G131" s="37"/>
      <c r="H131" s="46"/>
      <c r="I131" s="46"/>
      <c r="J131" s="37"/>
    </row>
    <row r="132" spans="1:10" x14ac:dyDescent="0.3">
      <c r="A132" s="40"/>
      <c r="B132" s="40"/>
      <c r="C132" s="34"/>
      <c r="D132" s="37"/>
      <c r="E132" s="37"/>
      <c r="F132" s="37"/>
      <c r="G132" s="37"/>
      <c r="H132" s="46"/>
      <c r="I132" s="46"/>
      <c r="J132" s="34"/>
    </row>
  </sheetData>
  <dataValidations count="2">
    <dataValidation type="list" allowBlank="1" showInputMessage="1" showErrorMessage="1" sqref="E1:E1048576" xr:uid="{C36A7506-2652-4281-9C30-1F74F54205CE}">
      <formula1>UnitList</formula1>
    </dataValidation>
    <dataValidation type="list" allowBlank="1" showInputMessage="1" showErrorMessage="1" sqref="C1:C1048576" xr:uid="{1CEA1861-6BD9-4CFD-AFB1-71F52F8F80CE}">
      <formula1>ExerciseList</formula1>
    </dataValidation>
  </dataValidations>
  <pageMargins left="0.75" right="0.75" top="1" bottom="1" header="0.5" footer="0.5"/>
  <headerFooter>
    <oddFooter>&amp;L_x000D_&amp;1#&amp;"Calibri"&amp;8&amp;K000000 [AIA - INTERNAL]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6C4FE-0C4F-4E60-8DE4-9D0E14F8AB78}">
  <dimension ref="A1:J131"/>
  <sheetViews>
    <sheetView zoomScale="80" zoomScaleNormal="80" workbookViewId="0">
      <selection activeCell="A25" sqref="A25"/>
    </sheetView>
  </sheetViews>
  <sheetFormatPr defaultRowHeight="14.4" x14ac:dyDescent="0.3"/>
  <cols>
    <col min="1" max="1" width="20.33203125" style="13" bestFit="1" customWidth="1"/>
    <col min="2" max="2" width="20.33203125" style="13" customWidth="1"/>
    <col min="3" max="3" width="32.21875" bestFit="1" customWidth="1"/>
    <col min="4" max="5" width="17.33203125" customWidth="1"/>
    <col min="6" max="9" width="15" customWidth="1"/>
    <col min="10" max="10" width="77.44140625" customWidth="1"/>
  </cols>
  <sheetData>
    <row r="1" spans="1:10" x14ac:dyDescent="0.3">
      <c r="A1" s="12" t="s">
        <v>16</v>
      </c>
      <c r="B1" s="18" t="s">
        <v>60</v>
      </c>
      <c r="C1" s="11" t="s">
        <v>0</v>
      </c>
      <c r="D1" s="1" t="s">
        <v>28</v>
      </c>
      <c r="E1" s="1" t="s">
        <v>27</v>
      </c>
      <c r="F1" s="1" t="s">
        <v>31</v>
      </c>
      <c r="G1" s="1" t="s">
        <v>32</v>
      </c>
      <c r="H1" s="11" t="s">
        <v>61</v>
      </c>
      <c r="I1" s="11" t="s">
        <v>56</v>
      </c>
      <c r="J1" s="1" t="s">
        <v>1</v>
      </c>
    </row>
    <row r="2" spans="1:10" x14ac:dyDescent="0.3">
      <c r="A2" s="14">
        <v>46228</v>
      </c>
      <c r="B2" s="14">
        <v>46228</v>
      </c>
      <c r="C2" s="5" t="s">
        <v>3</v>
      </c>
      <c r="D2" s="10">
        <v>50</v>
      </c>
      <c r="E2" s="10" t="s">
        <v>29</v>
      </c>
      <c r="F2" s="10">
        <v>10</v>
      </c>
      <c r="G2" s="10">
        <v>2</v>
      </c>
      <c r="H2" s="10">
        <f>IFERROR(log_8[[#This Row],[Reps]]*log_8[[#This Row],[Sets]],"")</f>
        <v>20</v>
      </c>
      <c r="I2" s="10">
        <f>IFERROR(log_8[[#This Row],[Weight Value]]*log_8[[#This Row],[Reps]]*log_8[[#This Row],[Sets]],"")</f>
        <v>1000</v>
      </c>
      <c r="J2" s="4" t="s">
        <v>96</v>
      </c>
    </row>
    <row r="3" spans="1:10" x14ac:dyDescent="0.3">
      <c r="A3" s="14">
        <v>46228</v>
      </c>
      <c r="B3" s="14">
        <v>46228</v>
      </c>
      <c r="C3" t="s">
        <v>3</v>
      </c>
      <c r="D3" s="9">
        <v>80</v>
      </c>
      <c r="E3" s="9" t="s">
        <v>29</v>
      </c>
      <c r="F3" s="9">
        <v>10</v>
      </c>
      <c r="G3" s="9">
        <v>2</v>
      </c>
      <c r="H3" s="9">
        <f>IFERROR(log_8[[#This Row],[Reps]]*log_8[[#This Row],[Sets]],"")</f>
        <v>20</v>
      </c>
      <c r="I3" s="9">
        <f>IFERROR(log_8[[#This Row],[Weight Value]]*log_8[[#This Row],[Reps]]*log_8[[#This Row],[Sets]],"")</f>
        <v>1600</v>
      </c>
      <c r="J3" s="4"/>
    </row>
    <row r="4" spans="1:10" x14ac:dyDescent="0.3">
      <c r="A4" s="14">
        <v>46228</v>
      </c>
      <c r="B4" s="14">
        <v>46228</v>
      </c>
      <c r="C4" t="s">
        <v>97</v>
      </c>
      <c r="D4" s="9">
        <v>50</v>
      </c>
      <c r="E4" s="9" t="s">
        <v>29</v>
      </c>
      <c r="F4" s="9">
        <v>10</v>
      </c>
      <c r="G4" s="9">
        <v>1</v>
      </c>
      <c r="H4" s="9">
        <f>IFERROR(log_8[[#This Row],[Reps]]*log_8[[#This Row],[Sets]],"")</f>
        <v>10</v>
      </c>
      <c r="I4" s="9">
        <f>IFERROR(log_8[[#This Row],[Weight Value]]*log_8[[#This Row],[Reps]]*log_8[[#This Row],[Sets]],"")</f>
        <v>500</v>
      </c>
      <c r="J4" s="4" t="s">
        <v>100</v>
      </c>
    </row>
    <row r="5" spans="1:10" x14ac:dyDescent="0.3">
      <c r="A5" s="14">
        <v>46228</v>
      </c>
      <c r="B5" s="14">
        <v>46228</v>
      </c>
      <c r="C5" t="s">
        <v>97</v>
      </c>
      <c r="D5" s="9">
        <v>55</v>
      </c>
      <c r="E5" s="9" t="s">
        <v>29</v>
      </c>
      <c r="F5" s="9">
        <v>10</v>
      </c>
      <c r="G5" s="9">
        <v>2</v>
      </c>
      <c r="H5" s="9">
        <f>IFERROR(log_8[[#This Row],[Reps]]*log_8[[#This Row],[Sets]],"")</f>
        <v>20</v>
      </c>
      <c r="I5" s="9">
        <f>IFERROR(log_8[[#This Row],[Weight Value]]*log_8[[#This Row],[Reps]]*log_8[[#This Row],[Sets]],"")</f>
        <v>1100</v>
      </c>
      <c r="J5" s="4"/>
    </row>
    <row r="6" spans="1:10" x14ac:dyDescent="0.3">
      <c r="A6" s="14">
        <v>46228</v>
      </c>
      <c r="B6" s="14">
        <v>46228</v>
      </c>
      <c r="C6" t="s">
        <v>97</v>
      </c>
      <c r="D6" s="9">
        <v>55</v>
      </c>
      <c r="E6" s="9" t="s">
        <v>29</v>
      </c>
      <c r="F6" s="9">
        <v>8</v>
      </c>
      <c r="G6" s="9">
        <v>1</v>
      </c>
      <c r="H6" s="9">
        <f>IFERROR(log_8[[#This Row],[Reps]]*log_8[[#This Row],[Sets]],"")</f>
        <v>8</v>
      </c>
      <c r="I6" s="9">
        <f>IFERROR(log_8[[#This Row],[Weight Value]]*log_8[[#This Row],[Reps]]*log_8[[#This Row],[Sets]],"")</f>
        <v>440</v>
      </c>
      <c r="J6" s="4"/>
    </row>
    <row r="7" spans="1:10" x14ac:dyDescent="0.3">
      <c r="A7" s="14">
        <v>46228</v>
      </c>
      <c r="B7" s="14">
        <v>46228</v>
      </c>
      <c r="C7" t="s">
        <v>45</v>
      </c>
      <c r="D7" s="9">
        <v>20</v>
      </c>
      <c r="E7" s="9" t="s">
        <v>29</v>
      </c>
      <c r="F7" s="9">
        <v>10</v>
      </c>
      <c r="G7" s="9">
        <v>1</v>
      </c>
      <c r="H7" s="9">
        <f>IFERROR(log_8[[#This Row],[Reps]]*log_8[[#This Row],[Sets]],"")</f>
        <v>10</v>
      </c>
      <c r="I7" s="9">
        <f>IFERROR(log_8[[#This Row],[Weight Value]]*log_8[[#This Row],[Reps]]*log_8[[#This Row],[Sets]],"")</f>
        <v>200</v>
      </c>
      <c r="J7" s="4"/>
    </row>
    <row r="8" spans="1:10" x14ac:dyDescent="0.3">
      <c r="A8" s="14">
        <v>46228</v>
      </c>
      <c r="B8" s="14">
        <v>46228</v>
      </c>
      <c r="C8" t="s">
        <v>45</v>
      </c>
      <c r="D8" s="9">
        <v>25</v>
      </c>
      <c r="E8" s="9" t="s">
        <v>29</v>
      </c>
      <c r="F8" s="9">
        <v>10</v>
      </c>
      <c r="G8" s="9">
        <v>3</v>
      </c>
      <c r="H8" s="9">
        <f>IFERROR(log_8[[#This Row],[Reps]]*log_8[[#This Row],[Sets]],"")</f>
        <v>30</v>
      </c>
      <c r="I8" s="9">
        <f>IFERROR(log_8[[#This Row],[Weight Value]]*log_8[[#This Row],[Reps]]*log_8[[#This Row],[Sets]],"")</f>
        <v>750</v>
      </c>
      <c r="J8" t="s">
        <v>101</v>
      </c>
    </row>
    <row r="9" spans="1:10" x14ac:dyDescent="0.3">
      <c r="A9" s="14">
        <v>46228</v>
      </c>
      <c r="B9" s="14">
        <v>46228</v>
      </c>
      <c r="C9" t="s">
        <v>98</v>
      </c>
      <c r="D9" s="9">
        <v>40</v>
      </c>
      <c r="E9" s="9" t="s">
        <v>29</v>
      </c>
      <c r="F9" s="9">
        <v>10</v>
      </c>
      <c r="G9" s="9">
        <v>2</v>
      </c>
      <c r="H9" s="9">
        <f>IFERROR(log_8[[#This Row],[Reps]]*log_8[[#This Row],[Sets]],"")</f>
        <v>20</v>
      </c>
      <c r="I9" s="9">
        <f>IFERROR(log_8[[#This Row],[Weight Value]]*log_8[[#This Row],[Reps]]*log_8[[#This Row],[Sets]],"")</f>
        <v>800</v>
      </c>
    </row>
    <row r="10" spans="1:10" x14ac:dyDescent="0.3">
      <c r="A10" s="14">
        <v>46228</v>
      </c>
      <c r="B10" s="14">
        <v>46228</v>
      </c>
      <c r="C10" t="s">
        <v>98</v>
      </c>
      <c r="D10" s="9">
        <v>40</v>
      </c>
      <c r="E10" s="9" t="s">
        <v>29</v>
      </c>
      <c r="F10" s="9">
        <v>8</v>
      </c>
      <c r="G10" s="9">
        <v>2</v>
      </c>
      <c r="H10" s="9">
        <f>IFERROR(log_8[[#This Row],[Reps]]*log_8[[#This Row],[Sets]],"")</f>
        <v>16</v>
      </c>
      <c r="I10" s="9">
        <f>IFERROR(log_8[[#This Row],[Weight Value]]*log_8[[#This Row],[Reps]]*log_8[[#This Row],[Sets]],"")</f>
        <v>640</v>
      </c>
    </row>
    <row r="11" spans="1:10" x14ac:dyDescent="0.3">
      <c r="A11" s="14">
        <v>46228</v>
      </c>
      <c r="B11" s="14">
        <v>46228</v>
      </c>
      <c r="C11" t="s">
        <v>99</v>
      </c>
      <c r="D11" s="9">
        <v>30</v>
      </c>
      <c r="E11" s="9" t="s">
        <v>29</v>
      </c>
      <c r="F11" s="9">
        <v>10</v>
      </c>
      <c r="G11" s="9">
        <v>2</v>
      </c>
      <c r="H11" s="9">
        <f>IFERROR(log_8[[#This Row],[Reps]]*log_8[[#This Row],[Sets]],"")</f>
        <v>20</v>
      </c>
      <c r="I11" s="9">
        <f>IFERROR(log_8[[#This Row],[Weight Value]]*log_8[[#This Row],[Reps]]*log_8[[#This Row],[Sets]],"")</f>
        <v>600</v>
      </c>
      <c r="J11" t="s">
        <v>106</v>
      </c>
    </row>
    <row r="12" spans="1:10" x14ac:dyDescent="0.3">
      <c r="A12" s="14">
        <v>46228</v>
      </c>
      <c r="B12" s="14">
        <v>46228</v>
      </c>
      <c r="C12" t="s">
        <v>99</v>
      </c>
      <c r="D12" s="9">
        <v>35</v>
      </c>
      <c r="E12" s="9" t="s">
        <v>29</v>
      </c>
      <c r="F12" s="9">
        <v>10</v>
      </c>
      <c r="G12" s="9">
        <v>2</v>
      </c>
      <c r="H12" s="9">
        <f>IFERROR(log_8[[#This Row],[Reps]]*log_8[[#This Row],[Sets]],"")</f>
        <v>20</v>
      </c>
      <c r="I12" s="9">
        <f>IFERROR(log_8[[#This Row],[Weight Value]]*log_8[[#This Row],[Reps]]*log_8[[#This Row],[Sets]],"")</f>
        <v>700</v>
      </c>
    </row>
    <row r="13" spans="1:10" x14ac:dyDescent="0.3">
      <c r="A13" s="14">
        <v>46228</v>
      </c>
      <c r="B13" s="14">
        <v>46228</v>
      </c>
      <c r="C13" s="8" t="s">
        <v>10</v>
      </c>
      <c r="D13" s="9">
        <v>7.5</v>
      </c>
      <c r="E13" s="9" t="s">
        <v>29</v>
      </c>
      <c r="F13" s="9">
        <v>8</v>
      </c>
      <c r="G13" s="9">
        <v>2</v>
      </c>
      <c r="H13" s="9">
        <f>IFERROR(log_8[[#This Row],[Reps]]*log_8[[#This Row],[Sets]],"")</f>
        <v>16</v>
      </c>
      <c r="I13" s="9">
        <f>IFERROR(log_8[[#This Row],[Weight Value]]*log_8[[#This Row],[Reps]]*log_8[[#This Row],[Sets]],"")</f>
        <v>120</v>
      </c>
    </row>
    <row r="14" spans="1:10" x14ac:dyDescent="0.3">
      <c r="A14" s="14">
        <v>46228</v>
      </c>
      <c r="B14" s="14">
        <v>46228</v>
      </c>
      <c r="C14" s="8" t="s">
        <v>10</v>
      </c>
      <c r="D14" s="9">
        <v>7.5</v>
      </c>
      <c r="E14" s="9" t="s">
        <v>29</v>
      </c>
      <c r="F14" s="9">
        <v>5</v>
      </c>
      <c r="G14" s="9">
        <v>2</v>
      </c>
      <c r="H14" s="9">
        <f>IFERROR(log_8[[#This Row],[Reps]]*log_8[[#This Row],[Sets]],"")</f>
        <v>10</v>
      </c>
      <c r="I14" s="9">
        <f>IFERROR(log_8[[#This Row],[Weight Value]]*log_8[[#This Row],[Reps]]*log_8[[#This Row],[Sets]],"")</f>
        <v>75</v>
      </c>
    </row>
    <row r="15" spans="1:10" x14ac:dyDescent="0.3">
      <c r="A15" s="14">
        <v>46228</v>
      </c>
      <c r="B15" s="14">
        <v>46228</v>
      </c>
      <c r="C15" t="s">
        <v>13</v>
      </c>
      <c r="D15" s="9">
        <v>7.5</v>
      </c>
      <c r="E15" s="9" t="s">
        <v>29</v>
      </c>
      <c r="F15" s="9">
        <v>7</v>
      </c>
      <c r="G15" s="9">
        <v>1</v>
      </c>
      <c r="H15" s="9">
        <f>IFERROR(log_8[[#This Row],[Reps]]*log_8[[#This Row],[Sets]],"")</f>
        <v>7</v>
      </c>
      <c r="I15" s="9">
        <f>IFERROR(log_8[[#This Row],[Weight Value]]*log_8[[#This Row],[Reps]]*log_8[[#This Row],[Sets]],"")</f>
        <v>52.5</v>
      </c>
    </row>
    <row r="16" spans="1:10" x14ac:dyDescent="0.3">
      <c r="A16" s="14">
        <v>46228</v>
      </c>
      <c r="B16" s="14">
        <v>46228</v>
      </c>
      <c r="C16" t="s">
        <v>13</v>
      </c>
      <c r="D16" s="9">
        <v>7.5</v>
      </c>
      <c r="E16" s="9" t="s">
        <v>29</v>
      </c>
      <c r="F16" s="9">
        <v>5</v>
      </c>
      <c r="G16" s="9">
        <v>3</v>
      </c>
      <c r="H16" s="9">
        <f>IFERROR(log_8[[#This Row],[Reps]]*log_8[[#This Row],[Sets]],"")</f>
        <v>15</v>
      </c>
      <c r="I16" s="9">
        <f>IFERROR(log_8[[#This Row],[Weight Value]]*log_8[[#This Row],[Reps]]*log_8[[#This Row],[Sets]],"")</f>
        <v>112.5</v>
      </c>
    </row>
    <row r="17" spans="1:10" x14ac:dyDescent="0.3">
      <c r="A17" s="14">
        <v>46228</v>
      </c>
      <c r="B17" s="14">
        <v>46228</v>
      </c>
      <c r="C17" t="s">
        <v>91</v>
      </c>
      <c r="D17" s="9">
        <v>20</v>
      </c>
      <c r="E17" s="9" t="s">
        <v>29</v>
      </c>
      <c r="F17" s="9">
        <v>10</v>
      </c>
      <c r="G17" s="9">
        <v>1</v>
      </c>
      <c r="H17" s="9">
        <f>IFERROR(log_8[[#This Row],[Reps]]*log_8[[#This Row],[Sets]],"")</f>
        <v>10</v>
      </c>
      <c r="I17" s="9">
        <f>IFERROR(log_8[[#This Row],[Weight Value]]*log_8[[#This Row],[Reps]]*log_8[[#This Row],[Sets]],"")</f>
        <v>200</v>
      </c>
    </row>
    <row r="18" spans="1:10" x14ac:dyDescent="0.3">
      <c r="A18" s="14">
        <v>46228</v>
      </c>
      <c r="B18" s="14">
        <v>46228</v>
      </c>
      <c r="C18" t="s">
        <v>91</v>
      </c>
      <c r="D18" s="9">
        <v>25</v>
      </c>
      <c r="E18" s="9" t="s">
        <v>29</v>
      </c>
      <c r="F18" s="9">
        <v>8</v>
      </c>
      <c r="G18" s="9">
        <v>3</v>
      </c>
      <c r="H18" s="9">
        <f>IFERROR(log_8[[#This Row],[Reps]]*log_8[[#This Row],[Sets]],"")</f>
        <v>24</v>
      </c>
      <c r="I18" s="9">
        <f>IFERROR(log_8[[#This Row],[Weight Value]]*log_8[[#This Row],[Reps]]*log_8[[#This Row],[Sets]],"")</f>
        <v>600</v>
      </c>
    </row>
    <row r="19" spans="1:10" x14ac:dyDescent="0.3">
      <c r="A19" s="14">
        <v>46228</v>
      </c>
      <c r="B19" s="14">
        <v>46228</v>
      </c>
      <c r="C19" t="s">
        <v>92</v>
      </c>
      <c r="D19" s="9">
        <v>35</v>
      </c>
      <c r="E19" s="9" t="s">
        <v>29</v>
      </c>
      <c r="F19" s="9">
        <v>7</v>
      </c>
      <c r="G19" s="9">
        <v>1</v>
      </c>
      <c r="H19" s="9">
        <f>IFERROR(log_8[[#This Row],[Reps]]*log_8[[#This Row],[Sets]],"")</f>
        <v>7</v>
      </c>
      <c r="I19" s="9">
        <f>IFERROR(log_8[[#This Row],[Weight Value]]*log_8[[#This Row],[Reps]]*log_8[[#This Row],[Sets]],"")</f>
        <v>245</v>
      </c>
      <c r="J19" t="s">
        <v>102</v>
      </c>
    </row>
    <row r="20" spans="1:10" x14ac:dyDescent="0.3">
      <c r="A20" s="14">
        <v>46228</v>
      </c>
      <c r="B20" s="14">
        <v>46228</v>
      </c>
      <c r="C20" t="s">
        <v>92</v>
      </c>
      <c r="D20" s="9">
        <v>35</v>
      </c>
      <c r="E20" s="9" t="s">
        <v>29</v>
      </c>
      <c r="F20" s="9">
        <v>5</v>
      </c>
      <c r="G20" s="9">
        <v>3</v>
      </c>
      <c r="H20" s="9">
        <f>IFERROR(log_8[[#This Row],[Reps]]*log_8[[#This Row],[Sets]],"")</f>
        <v>15</v>
      </c>
      <c r="I20" s="9">
        <f>IFERROR(log_8[[#This Row],[Weight Value]]*log_8[[#This Row],[Reps]]*log_8[[#This Row],[Sets]],"")</f>
        <v>525</v>
      </c>
    </row>
    <row r="21" spans="1:10" x14ac:dyDescent="0.3">
      <c r="A21" s="14">
        <v>46231</v>
      </c>
      <c r="B21" s="14">
        <v>46231</v>
      </c>
      <c r="C21" t="s">
        <v>98</v>
      </c>
      <c r="D21" s="9">
        <v>40</v>
      </c>
      <c r="E21" s="9" t="s">
        <v>29</v>
      </c>
      <c r="F21" s="9">
        <v>10</v>
      </c>
      <c r="G21" s="9">
        <v>3</v>
      </c>
      <c r="H21" s="9">
        <f>IFERROR(log_8[[#This Row],[Reps]]*log_8[[#This Row],[Sets]],"")</f>
        <v>30</v>
      </c>
      <c r="I21" s="9">
        <f>IFERROR(log_8[[#This Row],[Weight Value]]*log_8[[#This Row],[Reps]]*log_8[[#This Row],[Sets]],"")</f>
        <v>1200</v>
      </c>
    </row>
    <row r="22" spans="1:10" x14ac:dyDescent="0.3">
      <c r="A22" s="14">
        <v>46231</v>
      </c>
      <c r="B22" s="14">
        <v>46231</v>
      </c>
      <c r="C22" t="s">
        <v>98</v>
      </c>
      <c r="D22" s="9">
        <v>40</v>
      </c>
      <c r="E22" s="9" t="s">
        <v>29</v>
      </c>
      <c r="F22" s="9">
        <v>7</v>
      </c>
      <c r="G22" s="9">
        <v>1</v>
      </c>
      <c r="H22" s="9">
        <f>IFERROR(log_8[[#This Row],[Reps]]*log_8[[#This Row],[Sets]],"")</f>
        <v>7</v>
      </c>
      <c r="I22" s="9">
        <f>IFERROR(log_8[[#This Row],[Weight Value]]*log_8[[#This Row],[Reps]]*log_8[[#This Row],[Sets]],"")</f>
        <v>280</v>
      </c>
    </row>
    <row r="23" spans="1:10" x14ac:dyDescent="0.3">
      <c r="A23" s="14">
        <v>46231</v>
      </c>
      <c r="B23" s="14">
        <v>46231</v>
      </c>
      <c r="C23" t="s">
        <v>92</v>
      </c>
      <c r="D23" s="9">
        <v>35</v>
      </c>
      <c r="E23" s="9" t="s">
        <v>29</v>
      </c>
      <c r="F23" s="9">
        <v>10</v>
      </c>
      <c r="G23" s="9">
        <v>1</v>
      </c>
      <c r="H23" s="9">
        <f>IFERROR(log_8[[#This Row],[Reps]]*log_8[[#This Row],[Sets]],"")</f>
        <v>10</v>
      </c>
      <c r="I23" s="9">
        <f>IFERROR(log_8[[#This Row],[Weight Value]]*log_8[[#This Row],[Reps]]*log_8[[#This Row],[Sets]],"")</f>
        <v>350</v>
      </c>
    </row>
    <row r="24" spans="1:10" x14ac:dyDescent="0.3">
      <c r="A24" s="14">
        <v>46231</v>
      </c>
      <c r="B24" s="14">
        <v>46231</v>
      </c>
      <c r="C24" t="s">
        <v>92</v>
      </c>
      <c r="D24" s="9">
        <v>35</v>
      </c>
      <c r="E24" s="9" t="s">
        <v>29</v>
      </c>
      <c r="F24" s="9">
        <v>8</v>
      </c>
      <c r="G24" s="9">
        <v>2</v>
      </c>
      <c r="H24" s="9">
        <f>IFERROR(log_8[[#This Row],[Reps]]*log_8[[#This Row],[Sets]],"")</f>
        <v>16</v>
      </c>
      <c r="I24" s="9">
        <f>IFERROR(log_8[[#This Row],[Weight Value]]*log_8[[#This Row],[Reps]]*log_8[[#This Row],[Sets]],"")</f>
        <v>560</v>
      </c>
    </row>
    <row r="25" spans="1:10" x14ac:dyDescent="0.3">
      <c r="A25" s="14">
        <v>46231</v>
      </c>
      <c r="B25" s="14">
        <v>46231</v>
      </c>
      <c r="C25" t="s">
        <v>92</v>
      </c>
      <c r="D25" s="9">
        <v>40</v>
      </c>
      <c r="E25" s="9" t="s">
        <v>29</v>
      </c>
      <c r="F25" s="9">
        <v>5</v>
      </c>
      <c r="G25" s="9">
        <v>1</v>
      </c>
      <c r="H25" s="9">
        <f>IFERROR(log_8[[#This Row],[Reps]]*log_8[[#This Row],[Sets]],"")</f>
        <v>5</v>
      </c>
      <c r="I25" s="9">
        <f>IFERROR(log_8[[#This Row],[Weight Value]]*log_8[[#This Row],[Reps]]*log_8[[#This Row],[Sets]],"")</f>
        <v>200</v>
      </c>
    </row>
    <row r="26" spans="1:10" x14ac:dyDescent="0.3">
      <c r="A26" s="14">
        <v>46231</v>
      </c>
      <c r="B26" s="14">
        <v>46231</v>
      </c>
      <c r="C26" t="s">
        <v>91</v>
      </c>
      <c r="D26" s="9">
        <v>30</v>
      </c>
      <c r="E26" s="9" t="s">
        <v>29</v>
      </c>
      <c r="F26" s="9">
        <v>8</v>
      </c>
      <c r="G26" s="9">
        <v>3</v>
      </c>
      <c r="H26" s="9">
        <f>IFERROR(log_8[[#This Row],[Reps]]*log_8[[#This Row],[Sets]],"")</f>
        <v>24</v>
      </c>
      <c r="I26" s="9">
        <f>IFERROR(log_8[[#This Row],[Weight Value]]*log_8[[#This Row],[Reps]]*log_8[[#This Row],[Sets]],"")</f>
        <v>720</v>
      </c>
    </row>
    <row r="27" spans="1:10" x14ac:dyDescent="0.3">
      <c r="A27" s="14">
        <v>46231</v>
      </c>
      <c r="B27" s="14">
        <v>46231</v>
      </c>
      <c r="C27" t="s">
        <v>97</v>
      </c>
      <c r="D27" s="9">
        <v>80</v>
      </c>
      <c r="E27" s="9" t="s">
        <v>29</v>
      </c>
      <c r="F27" s="9">
        <v>10</v>
      </c>
      <c r="G27" s="9">
        <v>2</v>
      </c>
      <c r="H27" s="9">
        <f>IFERROR(log_8[[#This Row],[Reps]]*log_8[[#This Row],[Sets]],"")</f>
        <v>20</v>
      </c>
      <c r="I27" s="9">
        <f>IFERROR(log_8[[#This Row],[Weight Value]]*log_8[[#This Row],[Reps]]*log_8[[#This Row],[Sets]],"")</f>
        <v>1600</v>
      </c>
    </row>
    <row r="28" spans="1:10" x14ac:dyDescent="0.3">
      <c r="A28" s="14">
        <v>46231</v>
      </c>
      <c r="B28" s="14">
        <v>46231</v>
      </c>
      <c r="C28" t="s">
        <v>97</v>
      </c>
      <c r="D28" s="9">
        <v>80</v>
      </c>
      <c r="E28" s="9" t="s">
        <v>29</v>
      </c>
      <c r="F28" s="9">
        <v>6</v>
      </c>
      <c r="G28" s="9">
        <v>1</v>
      </c>
      <c r="H28" s="9">
        <f>IFERROR(log_8[[#This Row],[Reps]]*log_8[[#This Row],[Sets]],"")</f>
        <v>6</v>
      </c>
      <c r="I28" s="9">
        <f>IFERROR(log_8[[#This Row],[Weight Value]]*log_8[[#This Row],[Reps]]*log_8[[#This Row],[Sets]],"")</f>
        <v>480</v>
      </c>
    </row>
    <row r="29" spans="1:10" x14ac:dyDescent="0.3">
      <c r="A29" s="14">
        <v>46231</v>
      </c>
      <c r="B29" s="14">
        <v>46231</v>
      </c>
      <c r="C29" t="s">
        <v>97</v>
      </c>
      <c r="D29" s="9">
        <v>80</v>
      </c>
      <c r="E29" s="9" t="s">
        <v>29</v>
      </c>
      <c r="F29" s="9">
        <v>7</v>
      </c>
      <c r="G29" s="9">
        <v>1</v>
      </c>
      <c r="H29" s="9">
        <f>IFERROR(log_8[[#This Row],[Reps]]*log_8[[#This Row],[Sets]],"")</f>
        <v>7</v>
      </c>
      <c r="I29" s="9">
        <f>IFERROR(log_8[[#This Row],[Weight Value]]*log_8[[#This Row],[Reps]]*log_8[[#This Row],[Sets]],"")</f>
        <v>560</v>
      </c>
    </row>
    <row r="30" spans="1:10" x14ac:dyDescent="0.3">
      <c r="A30" s="14">
        <v>46231</v>
      </c>
      <c r="B30" s="14">
        <v>46231</v>
      </c>
      <c r="C30" t="s">
        <v>10</v>
      </c>
      <c r="D30" s="9">
        <v>7.5</v>
      </c>
      <c r="E30" s="9" t="s">
        <v>29</v>
      </c>
      <c r="F30" s="9">
        <v>7</v>
      </c>
      <c r="G30" s="9">
        <v>1</v>
      </c>
      <c r="H30" s="9">
        <f>IFERROR(log_8[[#This Row],[Reps]]*log_8[[#This Row],[Sets]],"")</f>
        <v>7</v>
      </c>
      <c r="I30" s="9">
        <f>IFERROR(log_8[[#This Row],[Weight Value]]*log_8[[#This Row],[Reps]]*log_8[[#This Row],[Sets]],"")</f>
        <v>52.5</v>
      </c>
    </row>
    <row r="31" spans="1:10" x14ac:dyDescent="0.3">
      <c r="A31" s="14">
        <v>46231</v>
      </c>
      <c r="B31" s="14">
        <v>46231</v>
      </c>
      <c r="C31" t="s">
        <v>10</v>
      </c>
      <c r="D31" s="9">
        <v>7.5</v>
      </c>
      <c r="E31" s="9" t="s">
        <v>29</v>
      </c>
      <c r="F31" s="9">
        <v>6</v>
      </c>
      <c r="G31" s="9">
        <v>3</v>
      </c>
      <c r="H31" s="9">
        <f>IFERROR(log_8[[#This Row],[Reps]]*log_8[[#This Row],[Sets]],"")</f>
        <v>18</v>
      </c>
      <c r="I31" s="9">
        <f>IFERROR(log_8[[#This Row],[Weight Value]]*log_8[[#This Row],[Reps]]*log_8[[#This Row],[Sets]],"")</f>
        <v>135</v>
      </c>
    </row>
    <row r="32" spans="1:10" x14ac:dyDescent="0.3">
      <c r="A32" s="14">
        <v>46231</v>
      </c>
      <c r="B32" s="14">
        <v>46231</v>
      </c>
      <c r="C32" t="s">
        <v>13</v>
      </c>
      <c r="D32" s="9">
        <v>7.5</v>
      </c>
      <c r="E32" s="9" t="s">
        <v>29</v>
      </c>
      <c r="F32" s="9">
        <v>6</v>
      </c>
      <c r="G32" s="9">
        <v>4</v>
      </c>
      <c r="H32" s="9">
        <f>IFERROR(log_8[[#This Row],[Reps]]*log_8[[#This Row],[Sets]],"")</f>
        <v>24</v>
      </c>
      <c r="I32" s="9">
        <f>IFERROR(log_8[[#This Row],[Weight Value]]*log_8[[#This Row],[Reps]]*log_8[[#This Row],[Sets]],"")</f>
        <v>180</v>
      </c>
    </row>
    <row r="33" spans="1:10" x14ac:dyDescent="0.3">
      <c r="A33" s="14">
        <v>46231</v>
      </c>
      <c r="B33" s="14">
        <v>46231</v>
      </c>
      <c r="C33" s="8" t="s">
        <v>45</v>
      </c>
      <c r="D33" s="9">
        <v>25</v>
      </c>
      <c r="E33" s="9" t="s">
        <v>29</v>
      </c>
      <c r="F33" s="9">
        <v>10</v>
      </c>
      <c r="G33" s="9">
        <v>1</v>
      </c>
      <c r="H33" s="9">
        <f>IFERROR(log_8[[#This Row],[Reps]]*log_8[[#This Row],[Sets]],"")</f>
        <v>10</v>
      </c>
      <c r="I33" s="9">
        <f>IFERROR(log_8[[#This Row],[Weight Value]]*log_8[[#This Row],[Reps]]*log_8[[#This Row],[Sets]],"")</f>
        <v>250</v>
      </c>
    </row>
    <row r="34" spans="1:10" x14ac:dyDescent="0.3">
      <c r="A34" s="14">
        <v>46231</v>
      </c>
      <c r="B34" s="14">
        <v>46231</v>
      </c>
      <c r="C34" s="8" t="s">
        <v>45</v>
      </c>
      <c r="D34" s="9">
        <v>30</v>
      </c>
      <c r="E34" s="9" t="s">
        <v>29</v>
      </c>
      <c r="F34" s="9">
        <v>5</v>
      </c>
      <c r="G34" s="9">
        <v>3</v>
      </c>
      <c r="H34" s="9">
        <f>IFERROR(log_8[[#This Row],[Reps]]*log_8[[#This Row],[Sets]],"")</f>
        <v>15</v>
      </c>
      <c r="I34" s="9">
        <f>IFERROR(log_8[[#This Row],[Weight Value]]*log_8[[#This Row],[Reps]]*log_8[[#This Row],[Sets]],"")</f>
        <v>450</v>
      </c>
      <c r="J34" t="s">
        <v>108</v>
      </c>
    </row>
    <row r="35" spans="1:10" x14ac:dyDescent="0.3">
      <c r="A35" s="14">
        <v>46231</v>
      </c>
      <c r="B35" s="14">
        <v>46231</v>
      </c>
      <c r="C35" t="s">
        <v>94</v>
      </c>
      <c r="D35" s="9">
        <v>15</v>
      </c>
      <c r="E35" s="9" t="s">
        <v>29</v>
      </c>
      <c r="F35" s="9">
        <v>10</v>
      </c>
      <c r="G35" s="9">
        <v>2</v>
      </c>
      <c r="H35" s="9">
        <f>IFERROR(log_8[[#This Row],[Reps]]*log_8[[#This Row],[Sets]],"")</f>
        <v>20</v>
      </c>
      <c r="I35" s="9">
        <f>IFERROR(log_8[[#This Row],[Weight Value]]*log_8[[#This Row],[Reps]]*log_8[[#This Row],[Sets]],"")</f>
        <v>300</v>
      </c>
      <c r="J35" s="4"/>
    </row>
    <row r="36" spans="1:10" x14ac:dyDescent="0.3">
      <c r="A36" s="14">
        <v>46231</v>
      </c>
      <c r="B36" s="14">
        <v>46231</v>
      </c>
      <c r="C36" t="s">
        <v>94</v>
      </c>
      <c r="D36" s="9">
        <v>20</v>
      </c>
      <c r="E36" s="9" t="s">
        <v>29</v>
      </c>
      <c r="F36" s="9">
        <v>8</v>
      </c>
      <c r="G36" s="9">
        <v>2</v>
      </c>
      <c r="H36" s="9">
        <f>IFERROR(log_8[[#This Row],[Reps]]*log_8[[#This Row],[Sets]],"")</f>
        <v>16</v>
      </c>
      <c r="I36" s="9">
        <f>IFERROR(log_8[[#This Row],[Weight Value]]*log_8[[#This Row],[Reps]]*log_8[[#This Row],[Sets]],"")</f>
        <v>320</v>
      </c>
      <c r="J36" s="4"/>
    </row>
    <row r="37" spans="1:10" x14ac:dyDescent="0.3">
      <c r="A37" s="14"/>
      <c r="B37" s="14"/>
      <c r="D37" s="9"/>
      <c r="E37" s="9"/>
      <c r="F37" s="9"/>
      <c r="G37" s="9"/>
      <c r="H37" s="9">
        <f>IFERROR(log_8[[#This Row],[Reps]]*log_8[[#This Row],[Sets]],"")</f>
        <v>0</v>
      </c>
      <c r="I37" s="9">
        <f>IFERROR(log_8[[#This Row],[Weight Value]]*log_8[[#This Row],[Reps]]*log_8[[#This Row],[Sets]],"")</f>
        <v>0</v>
      </c>
      <c r="J37" s="4"/>
    </row>
    <row r="38" spans="1:10" x14ac:dyDescent="0.3">
      <c r="A38" s="14"/>
      <c r="B38" s="14"/>
      <c r="D38" s="9"/>
      <c r="E38" s="9"/>
      <c r="F38" s="9"/>
      <c r="G38" s="9"/>
      <c r="H38" s="9">
        <f>IFERROR(log_8[[#This Row],[Reps]]*log_8[[#This Row],[Sets]],"")</f>
        <v>0</v>
      </c>
      <c r="I38" s="9">
        <f>IFERROR(log_8[[#This Row],[Weight Value]]*log_8[[#This Row],[Reps]]*log_8[[#This Row],[Sets]],"")</f>
        <v>0</v>
      </c>
      <c r="J38" s="4"/>
    </row>
    <row r="39" spans="1:10" x14ac:dyDescent="0.3">
      <c r="A39" s="14"/>
      <c r="B39" s="14"/>
      <c r="D39" s="9"/>
      <c r="E39" s="9"/>
      <c r="F39" s="9"/>
      <c r="G39" s="9"/>
      <c r="H39" s="9">
        <f>IFERROR(log_8[[#This Row],[Reps]]*log_8[[#This Row],[Sets]],"")</f>
        <v>0</v>
      </c>
      <c r="I39" s="9">
        <f>IFERROR(log_8[[#This Row],[Weight Value]]*log_8[[#This Row],[Reps]]*log_8[[#This Row],[Sets]],"")</f>
        <v>0</v>
      </c>
      <c r="J39" s="4"/>
    </row>
    <row r="40" spans="1:10" x14ac:dyDescent="0.3">
      <c r="A40" s="14"/>
      <c r="B40" s="14"/>
      <c r="D40" s="9"/>
      <c r="E40" s="9"/>
      <c r="F40" s="9"/>
      <c r="G40" s="9"/>
      <c r="H40" s="9">
        <f>IFERROR(log_8[[#This Row],[Reps]]*log_8[[#This Row],[Sets]],"")</f>
        <v>0</v>
      </c>
      <c r="I40" s="9">
        <f>IFERROR(log_8[[#This Row],[Weight Value]]*log_8[[#This Row],[Reps]]*log_8[[#This Row],[Sets]],"")</f>
        <v>0</v>
      </c>
      <c r="J40" s="4"/>
    </row>
    <row r="41" spans="1:10" x14ac:dyDescent="0.3">
      <c r="A41" s="14"/>
      <c r="B41" s="14"/>
      <c r="D41" s="9"/>
      <c r="E41" s="9"/>
      <c r="F41" s="9"/>
      <c r="G41" s="9"/>
      <c r="H41" s="9">
        <f>IFERROR(log_8[[#This Row],[Reps]]*log_8[[#This Row],[Sets]],"")</f>
        <v>0</v>
      </c>
      <c r="I41" s="9">
        <f>IFERROR(log_8[[#This Row],[Weight Value]]*log_8[[#This Row],[Reps]]*log_8[[#This Row],[Sets]],"")</f>
        <v>0</v>
      </c>
      <c r="J41" s="4"/>
    </row>
    <row r="42" spans="1:10" x14ac:dyDescent="0.3">
      <c r="A42" s="14"/>
      <c r="B42" s="14"/>
      <c r="C42" s="8"/>
      <c r="D42" s="9"/>
      <c r="E42" s="9"/>
      <c r="F42" s="9"/>
      <c r="G42" s="9"/>
      <c r="H42" s="9">
        <f>IFERROR(log_8[[#This Row],[Reps]]*log_8[[#This Row],[Sets]],"")</f>
        <v>0</v>
      </c>
      <c r="I42" s="9">
        <f>IFERROR(log_8[[#This Row],[Weight Value]]*log_8[[#This Row],[Reps]]*log_8[[#This Row],[Sets]],"")</f>
        <v>0</v>
      </c>
      <c r="J42" s="4"/>
    </row>
    <row r="43" spans="1:10" x14ac:dyDescent="0.3">
      <c r="A43" s="14"/>
      <c r="B43" s="14"/>
      <c r="D43" s="9"/>
      <c r="E43" s="9"/>
      <c r="F43" s="9"/>
      <c r="G43" s="9"/>
      <c r="H43" s="9">
        <f>IFERROR(log_8[[#This Row],[Reps]]*log_8[[#This Row],[Sets]],"")</f>
        <v>0</v>
      </c>
      <c r="I43" s="9">
        <f>IFERROR(log_8[[#This Row],[Weight Value]]*log_8[[#This Row],[Reps]]*log_8[[#This Row],[Sets]],"")</f>
        <v>0</v>
      </c>
    </row>
    <row r="44" spans="1:10" x14ac:dyDescent="0.3">
      <c r="A44" s="14"/>
      <c r="B44" s="14"/>
      <c r="D44" s="9"/>
      <c r="E44" s="9"/>
      <c r="F44" s="9"/>
      <c r="G44" s="9"/>
      <c r="H44" s="9">
        <f>IFERROR(log_8[[#This Row],[Reps]]*log_8[[#This Row],[Sets]],"")</f>
        <v>0</v>
      </c>
      <c r="I44" s="9">
        <f>IFERROR(log_8[[#This Row],[Weight Value]]*log_8[[#This Row],[Reps]]*log_8[[#This Row],[Sets]],"")</f>
        <v>0</v>
      </c>
    </row>
    <row r="45" spans="1:10" x14ac:dyDescent="0.3">
      <c r="A45" s="14"/>
      <c r="B45" s="14"/>
      <c r="D45" s="9"/>
      <c r="E45" s="9"/>
      <c r="F45" s="9"/>
      <c r="G45" s="9"/>
      <c r="H45" s="9">
        <f>IFERROR(log_8[[#This Row],[Reps]]*log_8[[#This Row],[Sets]],"")</f>
        <v>0</v>
      </c>
      <c r="I45" s="9">
        <f>IFERROR(log_8[[#This Row],[Weight Value]]*log_8[[#This Row],[Reps]]*log_8[[#This Row],[Sets]],"")</f>
        <v>0</v>
      </c>
    </row>
    <row r="46" spans="1:10" x14ac:dyDescent="0.3">
      <c r="A46" s="14"/>
      <c r="B46" s="14"/>
      <c r="D46" s="9"/>
      <c r="E46" s="9"/>
      <c r="F46" s="9"/>
      <c r="G46" s="9"/>
      <c r="H46" s="9">
        <f>IFERROR(log_8[[#This Row],[Reps]]*log_8[[#This Row],[Sets]],"")</f>
        <v>0</v>
      </c>
      <c r="I46" s="9">
        <f>IFERROR(log_8[[#This Row],[Weight Value]]*log_8[[#This Row],[Reps]]*log_8[[#This Row],[Sets]],"")</f>
        <v>0</v>
      </c>
    </row>
    <row r="47" spans="1:10" x14ac:dyDescent="0.3">
      <c r="A47" s="14"/>
      <c r="B47" s="14"/>
      <c r="D47" s="9"/>
      <c r="E47" s="9"/>
      <c r="F47" s="9"/>
      <c r="G47" s="9"/>
      <c r="H47" s="9">
        <f>IFERROR(log_8[[#This Row],[Reps]]*log_8[[#This Row],[Sets]],"")</f>
        <v>0</v>
      </c>
      <c r="I47" s="9">
        <f>IFERROR(log_8[[#This Row],[Weight Value]]*log_8[[#This Row],[Reps]]*log_8[[#This Row],[Sets]],"")</f>
        <v>0</v>
      </c>
    </row>
    <row r="48" spans="1:10" x14ac:dyDescent="0.3">
      <c r="A48" s="14"/>
      <c r="B48" s="14"/>
      <c r="D48" s="9"/>
      <c r="E48" s="9"/>
      <c r="F48" s="9"/>
      <c r="G48" s="9"/>
      <c r="H48" s="9">
        <f>IFERROR(log_8[[#This Row],[Reps]]*log_8[[#This Row],[Sets]],"")</f>
        <v>0</v>
      </c>
      <c r="I48" s="9">
        <f>IFERROR(log_8[[#This Row],[Weight Value]]*log_8[[#This Row],[Reps]]*log_8[[#This Row],[Sets]],"")</f>
        <v>0</v>
      </c>
    </row>
    <row r="49" spans="1:10" x14ac:dyDescent="0.3">
      <c r="A49" s="14"/>
      <c r="B49" s="14"/>
      <c r="D49" s="9"/>
      <c r="E49" s="9"/>
      <c r="F49" s="9"/>
      <c r="G49" s="9"/>
      <c r="H49" s="9">
        <f>IFERROR(log_8[[#This Row],[Reps]]*log_8[[#This Row],[Sets]],"")</f>
        <v>0</v>
      </c>
      <c r="I49" s="9">
        <f>IFERROR(log_8[[#This Row],[Weight Value]]*log_8[[#This Row],[Reps]]*log_8[[#This Row],[Sets]],"")</f>
        <v>0</v>
      </c>
    </row>
    <row r="50" spans="1:10" x14ac:dyDescent="0.3">
      <c r="A50" s="14"/>
      <c r="B50" s="14"/>
      <c r="D50" s="9"/>
      <c r="E50" s="9"/>
      <c r="F50" s="9"/>
      <c r="G50" s="9"/>
      <c r="H50" s="9">
        <f>IFERROR(log_8[[#This Row],[Reps]]*log_8[[#This Row],[Sets]],"")</f>
        <v>0</v>
      </c>
      <c r="I50" s="9">
        <f>IFERROR(log_8[[#This Row],[Weight Value]]*log_8[[#This Row],[Reps]]*log_8[[#This Row],[Sets]],"")</f>
        <v>0</v>
      </c>
    </row>
    <row r="51" spans="1:10" x14ac:dyDescent="0.3">
      <c r="A51" s="14"/>
      <c r="B51" s="14"/>
      <c r="C51" s="8"/>
      <c r="D51" s="9"/>
      <c r="E51" s="9"/>
      <c r="F51" s="9"/>
      <c r="G51" s="9"/>
      <c r="H51" s="9">
        <f>IFERROR(log_8[[#This Row],[Reps]]*log_8[[#This Row],[Sets]],"")</f>
        <v>0</v>
      </c>
      <c r="I51" s="9">
        <f>IFERROR(log_8[[#This Row],[Weight Value]]*log_8[[#This Row],[Reps]]*log_8[[#This Row],[Sets]],"")</f>
        <v>0</v>
      </c>
    </row>
    <row r="52" spans="1:10" x14ac:dyDescent="0.3">
      <c r="A52" s="14"/>
      <c r="B52" s="14"/>
      <c r="D52" s="7"/>
      <c r="E52" s="7"/>
      <c r="F52" s="9"/>
      <c r="G52" s="9"/>
      <c r="H52" s="9">
        <f>IFERROR(log_8[[#This Row],[Reps]]*log_8[[#This Row],[Sets]],"")</f>
        <v>0</v>
      </c>
      <c r="I52" s="9">
        <f>IFERROR(log_8[[#This Row],[Weight Value]]*log_8[[#This Row],[Reps]]*log_8[[#This Row],[Sets]],"")</f>
        <v>0</v>
      </c>
    </row>
    <row r="53" spans="1:10" x14ac:dyDescent="0.3">
      <c r="A53" s="14"/>
      <c r="B53" s="14"/>
      <c r="D53" s="9"/>
      <c r="E53" s="9"/>
      <c r="F53" s="9"/>
      <c r="G53" s="9"/>
      <c r="H53" s="9">
        <f>IFERROR(log_8[[#This Row],[Reps]]*log_8[[#This Row],[Sets]],"")</f>
        <v>0</v>
      </c>
      <c r="I53" s="9">
        <f>IFERROR(log_8[[#This Row],[Weight Value]]*log_8[[#This Row],[Reps]]*log_8[[#This Row],[Sets]],"")</f>
        <v>0</v>
      </c>
    </row>
    <row r="54" spans="1:10" x14ac:dyDescent="0.3">
      <c r="A54" s="14"/>
      <c r="B54" s="14"/>
      <c r="D54" s="9"/>
      <c r="E54" s="9"/>
      <c r="F54" s="9"/>
      <c r="G54" s="9"/>
      <c r="H54" s="9">
        <f>IFERROR(log_8[[#This Row],[Reps]]*log_8[[#This Row],[Sets]],"")</f>
        <v>0</v>
      </c>
      <c r="I54" s="9">
        <f>IFERROR(log_8[[#This Row],[Weight Value]]*log_8[[#This Row],[Reps]]*log_8[[#This Row],[Sets]],"")</f>
        <v>0</v>
      </c>
    </row>
    <row r="55" spans="1:10" x14ac:dyDescent="0.3">
      <c r="A55" s="14"/>
      <c r="B55" s="14"/>
      <c r="D55" s="9"/>
      <c r="E55" s="9"/>
      <c r="F55" s="9"/>
      <c r="G55" s="9"/>
      <c r="H55" s="9">
        <f>IFERROR(log_8[[#This Row],[Reps]]*log_8[[#This Row],[Sets]],"")</f>
        <v>0</v>
      </c>
      <c r="I55" s="9">
        <f>IFERROR(log_8[[#This Row],[Weight Value]]*log_8[[#This Row],[Reps]]*log_8[[#This Row],[Sets]],"")</f>
        <v>0</v>
      </c>
    </row>
    <row r="56" spans="1:10" x14ac:dyDescent="0.3">
      <c r="A56" s="14"/>
      <c r="B56" s="14"/>
      <c r="D56" s="9"/>
      <c r="E56" s="9"/>
      <c r="F56" s="9"/>
      <c r="G56" s="9"/>
      <c r="H56" s="9">
        <f>IFERROR(log_8[[#This Row],[Reps]]*log_8[[#This Row],[Sets]],"")</f>
        <v>0</v>
      </c>
      <c r="I56" s="9">
        <f>IFERROR(log_8[[#This Row],[Weight Value]]*log_8[[#This Row],[Reps]]*log_8[[#This Row],[Sets]],"")</f>
        <v>0</v>
      </c>
    </row>
    <row r="57" spans="1:10" x14ac:dyDescent="0.3">
      <c r="A57" s="14"/>
      <c r="B57" s="14"/>
      <c r="D57" s="9"/>
      <c r="E57" s="9"/>
      <c r="F57" s="9"/>
      <c r="G57" s="9"/>
      <c r="H57" s="9">
        <f>IFERROR(log_8[[#This Row],[Reps]]*log_8[[#This Row],[Sets]],"")</f>
        <v>0</v>
      </c>
      <c r="I57" s="9">
        <f>IFERROR(log_8[[#This Row],[Weight Value]]*log_8[[#This Row],[Reps]]*log_8[[#This Row],[Sets]],"")</f>
        <v>0</v>
      </c>
    </row>
    <row r="58" spans="1:10" x14ac:dyDescent="0.3">
      <c r="A58" s="14"/>
      <c r="B58" s="14"/>
      <c r="D58" s="9"/>
      <c r="E58" s="9"/>
      <c r="F58" s="9"/>
      <c r="G58" s="9"/>
      <c r="H58" s="9">
        <f>IFERROR(log_8[[#This Row],[Reps]]*log_8[[#This Row],[Sets]],"")</f>
        <v>0</v>
      </c>
      <c r="I58" s="9">
        <f>IFERROR(log_8[[#This Row],[Weight Value]]*log_8[[#This Row],[Reps]]*log_8[[#This Row],[Sets]],"")</f>
        <v>0</v>
      </c>
    </row>
    <row r="59" spans="1:10" x14ac:dyDescent="0.3">
      <c r="A59" s="14"/>
      <c r="B59" s="14"/>
      <c r="D59" s="9"/>
      <c r="E59" s="9"/>
      <c r="F59" s="9"/>
      <c r="G59" s="9"/>
      <c r="H59" s="9">
        <f>IFERROR(log_8[[#This Row],[Reps]]*log_8[[#This Row],[Sets]],"")</f>
        <v>0</v>
      </c>
      <c r="I59" s="9">
        <f>IFERROR(log_8[[#This Row],[Weight Value]]*log_8[[#This Row],[Reps]]*log_8[[#This Row],[Sets]],"")</f>
        <v>0</v>
      </c>
    </row>
    <row r="60" spans="1:10" x14ac:dyDescent="0.3">
      <c r="A60" s="14"/>
      <c r="B60" s="14"/>
      <c r="D60" s="9"/>
      <c r="E60" s="9"/>
      <c r="F60" s="9"/>
      <c r="G60" s="9"/>
      <c r="H60" s="9">
        <f>IFERROR(log_8[[#This Row],[Reps]]*log_8[[#This Row],[Sets]],"")</f>
        <v>0</v>
      </c>
      <c r="I60" s="9">
        <f>IFERROR(log_8[[#This Row],[Weight Value]]*log_8[[#This Row],[Reps]]*log_8[[#This Row],[Sets]],"")</f>
        <v>0</v>
      </c>
    </row>
    <row r="61" spans="1:10" x14ac:dyDescent="0.3">
      <c r="A61" s="14"/>
      <c r="B61" s="14"/>
      <c r="C61" s="8"/>
      <c r="D61" s="9"/>
      <c r="E61" s="9"/>
      <c r="F61" s="9"/>
      <c r="G61" s="9"/>
      <c r="H61" s="9">
        <f>IFERROR(log_8[[#This Row],[Reps]]*log_8[[#This Row],[Sets]],"")</f>
        <v>0</v>
      </c>
      <c r="I61" s="9">
        <f>IFERROR(log_8[[#This Row],[Weight Value]]*log_8[[#This Row],[Reps]]*log_8[[#This Row],[Sets]],"")</f>
        <v>0</v>
      </c>
    </row>
    <row r="62" spans="1:10" x14ac:dyDescent="0.3">
      <c r="A62" s="14"/>
      <c r="B62" s="14"/>
      <c r="C62" s="2"/>
      <c r="D62" s="6"/>
      <c r="E62" s="6"/>
      <c r="F62" s="9"/>
      <c r="G62" s="9"/>
      <c r="H62" s="9">
        <f>IFERROR(log_8[[#This Row],[Reps]]*log_8[[#This Row],[Sets]],"")</f>
        <v>0</v>
      </c>
      <c r="I62" s="9">
        <f>IFERROR(log_8[[#This Row],[Weight Value]]*log_8[[#This Row],[Reps]]*log_8[[#This Row],[Sets]],"")</f>
        <v>0</v>
      </c>
      <c r="J62" s="2"/>
    </row>
    <row r="63" spans="1:10" x14ac:dyDescent="0.3">
      <c r="A63" s="14"/>
      <c r="B63" s="14"/>
      <c r="C63" s="2"/>
      <c r="D63" s="6"/>
      <c r="E63" s="6"/>
      <c r="F63" s="9"/>
      <c r="G63" s="9"/>
      <c r="H63" s="9">
        <f>IFERROR(log_8[[#This Row],[Reps]]*log_8[[#This Row],[Sets]],"")</f>
        <v>0</v>
      </c>
      <c r="I63" s="9">
        <f>IFERROR(log_8[[#This Row],[Weight Value]]*log_8[[#This Row],[Reps]]*log_8[[#This Row],[Sets]],"")</f>
        <v>0</v>
      </c>
    </row>
    <row r="64" spans="1:10" x14ac:dyDescent="0.3">
      <c r="A64" s="14"/>
      <c r="B64" s="14"/>
      <c r="C64" s="2"/>
      <c r="D64" s="6"/>
      <c r="E64" s="6"/>
      <c r="F64" s="9"/>
      <c r="G64" s="9"/>
      <c r="H64" s="9">
        <f>IFERROR(log_8[[#This Row],[Reps]]*log_8[[#This Row],[Sets]],"")</f>
        <v>0</v>
      </c>
      <c r="I64" s="9">
        <f>IFERROR(log_8[[#This Row],[Weight Value]]*log_8[[#This Row],[Reps]]*log_8[[#This Row],[Sets]],"")</f>
        <v>0</v>
      </c>
    </row>
    <row r="65" spans="1:10" x14ac:dyDescent="0.3">
      <c r="A65" s="14"/>
      <c r="B65" s="14"/>
      <c r="C65" s="2"/>
      <c r="D65" s="6"/>
      <c r="E65" s="6"/>
      <c r="F65" s="9"/>
      <c r="G65" s="9"/>
      <c r="H65" s="9">
        <f>IFERROR(log_8[[#This Row],[Reps]]*log_8[[#This Row],[Sets]],"")</f>
        <v>0</v>
      </c>
      <c r="I65" s="9">
        <f>IFERROR(log_8[[#This Row],[Weight Value]]*log_8[[#This Row],[Reps]]*log_8[[#This Row],[Sets]],"")</f>
        <v>0</v>
      </c>
      <c r="J65" s="2"/>
    </row>
    <row r="66" spans="1:10" x14ac:dyDescent="0.3">
      <c r="A66" s="14"/>
      <c r="B66" s="14"/>
      <c r="C66" s="2"/>
      <c r="D66" s="6"/>
      <c r="E66" s="6"/>
      <c r="F66" s="9"/>
      <c r="G66" s="9"/>
      <c r="H66" s="9">
        <f>IFERROR(log_8[[#This Row],[Reps]]*log_8[[#This Row],[Sets]],"")</f>
        <v>0</v>
      </c>
      <c r="I66" s="9">
        <f>IFERROR(log_8[[#This Row],[Weight Value]]*log_8[[#This Row],[Reps]]*log_8[[#This Row],[Sets]],"")</f>
        <v>0</v>
      </c>
      <c r="J66" s="2"/>
    </row>
    <row r="67" spans="1:10" x14ac:dyDescent="0.3">
      <c r="A67" s="14"/>
      <c r="B67" s="14"/>
      <c r="C67" s="2"/>
      <c r="D67" s="6"/>
      <c r="E67" s="6"/>
      <c r="F67" s="9"/>
      <c r="G67" s="9"/>
      <c r="H67" s="9">
        <f>IFERROR(log_8[[#This Row],[Reps]]*log_8[[#This Row],[Sets]],"")</f>
        <v>0</v>
      </c>
      <c r="I67" s="9">
        <f>IFERROR(log_8[[#This Row],[Weight Value]]*log_8[[#This Row],[Reps]]*log_8[[#This Row],[Sets]],"")</f>
        <v>0</v>
      </c>
      <c r="J67" s="2"/>
    </row>
    <row r="68" spans="1:10" x14ac:dyDescent="0.3">
      <c r="A68" s="14"/>
      <c r="B68" s="14"/>
      <c r="C68" s="2"/>
      <c r="D68" s="6"/>
      <c r="E68" s="6"/>
      <c r="F68" s="9"/>
      <c r="G68" s="9"/>
      <c r="H68" s="9">
        <f>IFERROR(log_8[[#This Row],[Reps]]*log_8[[#This Row],[Sets]],"")</f>
        <v>0</v>
      </c>
      <c r="I68" s="9">
        <f>IFERROR(log_8[[#This Row],[Weight Value]]*log_8[[#This Row],[Reps]]*log_8[[#This Row],[Sets]],"")</f>
        <v>0</v>
      </c>
      <c r="J68" s="2"/>
    </row>
    <row r="69" spans="1:10" x14ac:dyDescent="0.3">
      <c r="A69" s="14"/>
      <c r="B69" s="14"/>
      <c r="C69" s="8"/>
      <c r="D69" s="6"/>
      <c r="E69" s="9"/>
      <c r="F69" s="9"/>
      <c r="G69" s="9"/>
      <c r="H69" s="9">
        <f>IFERROR(log_8[[#This Row],[Reps]]*log_8[[#This Row],[Sets]],"")</f>
        <v>0</v>
      </c>
      <c r="I69" s="9">
        <f>IFERROR(log_8[[#This Row],[Weight Value]]*log_8[[#This Row],[Reps]]*log_8[[#This Row],[Sets]],"")</f>
        <v>0</v>
      </c>
      <c r="J69" s="2"/>
    </row>
    <row r="70" spans="1:10" x14ac:dyDescent="0.3">
      <c r="A70" s="14"/>
      <c r="B70" s="14"/>
      <c r="C70" s="2"/>
      <c r="D70" s="6"/>
      <c r="E70" s="6"/>
      <c r="F70" s="9"/>
      <c r="G70" s="9"/>
      <c r="H70" s="9">
        <f>IFERROR(log_8[[#This Row],[Reps]]*log_8[[#This Row],[Sets]],"")</f>
        <v>0</v>
      </c>
      <c r="I70" s="9">
        <f>IFERROR(log_8[[#This Row],[Weight Value]]*log_8[[#This Row],[Reps]]*log_8[[#This Row],[Sets]],"")</f>
        <v>0</v>
      </c>
    </row>
    <row r="71" spans="1:10" x14ac:dyDescent="0.3">
      <c r="A71" s="14"/>
      <c r="B71" s="14"/>
      <c r="C71" s="2"/>
      <c r="D71" s="6"/>
      <c r="E71" s="6"/>
      <c r="F71" s="9"/>
      <c r="G71" s="9"/>
      <c r="H71" s="9">
        <f>IFERROR(log_8[[#This Row],[Reps]]*log_8[[#This Row],[Sets]],"")</f>
        <v>0</v>
      </c>
      <c r="I71" s="9">
        <f>IFERROR(log_8[[#This Row],[Weight Value]]*log_8[[#This Row],[Reps]]*log_8[[#This Row],[Sets]],"")</f>
        <v>0</v>
      </c>
      <c r="J71" s="2"/>
    </row>
    <row r="72" spans="1:10" x14ac:dyDescent="0.3">
      <c r="A72" s="14"/>
      <c r="B72" s="14"/>
      <c r="C72" s="2"/>
      <c r="D72" s="6"/>
      <c r="E72" s="6"/>
      <c r="F72" s="9"/>
      <c r="G72" s="9"/>
      <c r="H72" s="9">
        <f>IFERROR(log_8[[#This Row],[Reps]]*log_8[[#This Row],[Sets]],"")</f>
        <v>0</v>
      </c>
      <c r="I72" s="9">
        <f>IFERROR(log_8[[#This Row],[Weight Value]]*log_8[[#This Row],[Reps]]*log_8[[#This Row],[Sets]],"")</f>
        <v>0</v>
      </c>
      <c r="J72" s="2"/>
    </row>
    <row r="73" spans="1:10" x14ac:dyDescent="0.3">
      <c r="A73" s="14"/>
      <c r="B73" s="14"/>
      <c r="C73" s="2"/>
      <c r="D73" s="6"/>
      <c r="E73" s="6"/>
      <c r="F73" s="9"/>
      <c r="G73" s="9"/>
      <c r="H73" s="9">
        <f>IFERROR(log_8[[#This Row],[Reps]]*log_8[[#This Row],[Sets]],"")</f>
        <v>0</v>
      </c>
      <c r="I73" s="9">
        <f>IFERROR(log_8[[#This Row],[Weight Value]]*log_8[[#This Row],[Reps]]*log_8[[#This Row],[Sets]],"")</f>
        <v>0</v>
      </c>
    </row>
    <row r="74" spans="1:10" x14ac:dyDescent="0.3">
      <c r="A74" s="14"/>
      <c r="B74" s="14"/>
      <c r="C74" s="2"/>
      <c r="D74" s="6"/>
      <c r="E74" s="6"/>
      <c r="F74" s="9"/>
      <c r="G74" s="9"/>
      <c r="H74" s="9">
        <f>IFERROR(log_8[[#This Row],[Reps]]*log_8[[#This Row],[Sets]],"")</f>
        <v>0</v>
      </c>
      <c r="I74" s="9">
        <f>IFERROR(log_8[[#This Row],[Weight Value]]*log_8[[#This Row],[Reps]]*log_8[[#This Row],[Sets]],"")</f>
        <v>0</v>
      </c>
      <c r="J74" s="2"/>
    </row>
    <row r="75" spans="1:10" x14ac:dyDescent="0.3">
      <c r="A75" s="14"/>
      <c r="B75" s="14"/>
      <c r="C75" s="2"/>
      <c r="D75" s="6"/>
      <c r="E75" s="6"/>
      <c r="F75" s="9"/>
      <c r="G75" s="9"/>
      <c r="H75" s="9">
        <f>IFERROR(log_8[[#This Row],[Reps]]*log_8[[#This Row],[Sets]],"")</f>
        <v>0</v>
      </c>
      <c r="I75" s="9">
        <f>IFERROR(log_8[[#This Row],[Weight Value]]*log_8[[#This Row],[Reps]]*log_8[[#This Row],[Sets]],"")</f>
        <v>0</v>
      </c>
      <c r="J75" s="2"/>
    </row>
    <row r="76" spans="1:10" x14ac:dyDescent="0.3">
      <c r="A76" s="14"/>
      <c r="B76" s="14"/>
      <c r="C76" s="2"/>
      <c r="D76" s="6"/>
      <c r="E76" s="6"/>
      <c r="F76" s="9"/>
      <c r="G76" s="9"/>
      <c r="H76" s="9">
        <f>IFERROR(log_8[[#This Row],[Reps]]*log_8[[#This Row],[Sets]],"")</f>
        <v>0</v>
      </c>
      <c r="I76" s="9">
        <f>IFERROR(log_8[[#This Row],[Weight Value]]*log_8[[#This Row],[Reps]]*log_8[[#This Row],[Sets]],"")</f>
        <v>0</v>
      </c>
      <c r="J76" s="2"/>
    </row>
    <row r="77" spans="1:10" x14ac:dyDescent="0.3">
      <c r="A77" s="14"/>
      <c r="B77" s="14"/>
      <c r="C77" s="2"/>
      <c r="D77" s="6"/>
      <c r="E77" s="7"/>
      <c r="F77" s="9"/>
      <c r="G77" s="9"/>
      <c r="H77" s="9">
        <f>IFERROR(log_8[[#This Row],[Reps]]*log_8[[#This Row],[Sets]],"")</f>
        <v>0</v>
      </c>
      <c r="I77" s="9">
        <f>IFERROR(log_8[[#This Row],[Weight Value]]*log_8[[#This Row],[Reps]]*log_8[[#This Row],[Sets]],"")</f>
        <v>0</v>
      </c>
      <c r="J77" s="7"/>
    </row>
    <row r="78" spans="1:10" x14ac:dyDescent="0.3">
      <c r="A78" s="14"/>
      <c r="B78" s="14"/>
      <c r="C78" s="8"/>
      <c r="D78" s="6"/>
      <c r="E78" s="9"/>
      <c r="F78" s="9"/>
      <c r="G78" s="9"/>
      <c r="H78" s="9">
        <f>IFERROR(log_8[[#This Row],[Reps]]*log_8[[#This Row],[Sets]],"")</f>
        <v>0</v>
      </c>
      <c r="I78" s="9">
        <f>IFERROR(log_8[[#This Row],[Weight Value]]*log_8[[#This Row],[Reps]]*log_8[[#This Row],[Sets]],"")</f>
        <v>0</v>
      </c>
      <c r="J78" s="2"/>
    </row>
    <row r="79" spans="1:10" x14ac:dyDescent="0.3">
      <c r="A79" s="14"/>
      <c r="B79" s="14"/>
      <c r="C79" s="2"/>
      <c r="D79" s="6"/>
      <c r="E79" s="6"/>
      <c r="F79" s="9"/>
      <c r="G79" s="9"/>
      <c r="H79" s="9">
        <f>IFERROR(log_8[[#This Row],[Reps]]*log_8[[#This Row],[Sets]],"")</f>
        <v>0</v>
      </c>
      <c r="I79" s="9">
        <f>IFERROR(log_8[[#This Row],[Weight Value]]*log_8[[#This Row],[Reps]]*log_8[[#This Row],[Sets]],"")</f>
        <v>0</v>
      </c>
      <c r="J79" s="2"/>
    </row>
    <row r="80" spans="1:10" x14ac:dyDescent="0.3">
      <c r="A80" s="14"/>
      <c r="B80" s="14"/>
      <c r="C80" s="2"/>
      <c r="D80" s="6"/>
      <c r="E80" s="6"/>
      <c r="F80" s="9"/>
      <c r="G80" s="9"/>
      <c r="H80" s="9">
        <f>IFERROR(log_8[[#This Row],[Reps]]*log_8[[#This Row],[Sets]],"")</f>
        <v>0</v>
      </c>
      <c r="I80" s="9">
        <f>IFERROR(log_8[[#This Row],[Weight Value]]*log_8[[#This Row],[Reps]]*log_8[[#This Row],[Sets]],"")</f>
        <v>0</v>
      </c>
      <c r="J80" s="2"/>
    </row>
    <row r="81" spans="1:10" x14ac:dyDescent="0.3">
      <c r="A81" s="14"/>
      <c r="B81" s="14"/>
      <c r="C81" s="2"/>
      <c r="D81" s="6"/>
      <c r="E81" s="6"/>
      <c r="F81" s="9"/>
      <c r="G81" s="9"/>
      <c r="H81" s="9">
        <f>IFERROR(log_8[[#This Row],[Reps]]*log_8[[#This Row],[Sets]],"")</f>
        <v>0</v>
      </c>
      <c r="I81" s="9">
        <f>IFERROR(log_8[[#This Row],[Weight Value]]*log_8[[#This Row],[Reps]]*log_8[[#This Row],[Sets]],"")</f>
        <v>0</v>
      </c>
      <c r="J81" s="2"/>
    </row>
    <row r="82" spans="1:10" x14ac:dyDescent="0.3">
      <c r="A82" s="14"/>
      <c r="B82" s="14"/>
      <c r="C82" s="2"/>
      <c r="D82" s="6"/>
      <c r="E82" s="6"/>
      <c r="F82" s="9"/>
      <c r="G82" s="9"/>
      <c r="H82" s="9">
        <f>IFERROR(log_8[[#This Row],[Reps]]*log_8[[#This Row],[Sets]],"")</f>
        <v>0</v>
      </c>
      <c r="I82" s="9">
        <f>IFERROR(log_8[[#This Row],[Weight Value]]*log_8[[#This Row],[Reps]]*log_8[[#This Row],[Sets]],"")</f>
        <v>0</v>
      </c>
      <c r="J82" s="2"/>
    </row>
    <row r="83" spans="1:10" x14ac:dyDescent="0.3">
      <c r="A83" s="14"/>
      <c r="B83" s="14"/>
      <c r="C83" s="2"/>
      <c r="D83" s="6"/>
      <c r="E83" s="6"/>
      <c r="F83" s="9"/>
      <c r="G83" s="9"/>
      <c r="H83" s="9">
        <f>IFERROR(log_8[[#This Row],[Reps]]*log_8[[#This Row],[Sets]],"")</f>
        <v>0</v>
      </c>
      <c r="I83" s="9">
        <f>IFERROR(log_8[[#This Row],[Weight Value]]*log_8[[#This Row],[Reps]]*log_8[[#This Row],[Sets]],"")</f>
        <v>0</v>
      </c>
      <c r="J83" s="2"/>
    </row>
    <row r="84" spans="1:10" x14ac:dyDescent="0.3">
      <c r="A84" s="14"/>
      <c r="B84" s="14"/>
      <c r="C84" s="8"/>
      <c r="D84" s="6"/>
      <c r="E84" s="9"/>
      <c r="F84" s="9"/>
      <c r="G84" s="9"/>
      <c r="H84" s="9">
        <f>IFERROR(log_8[[#This Row],[Reps]]*log_8[[#This Row],[Sets]],"")</f>
        <v>0</v>
      </c>
      <c r="I84" s="9">
        <f>IFERROR(log_8[[#This Row],[Weight Value]]*log_8[[#This Row],[Reps]]*log_8[[#This Row],[Sets]],"")</f>
        <v>0</v>
      </c>
      <c r="J84" s="2"/>
    </row>
    <row r="85" spans="1:10" x14ac:dyDescent="0.3">
      <c r="A85" s="14"/>
      <c r="B85" s="14"/>
      <c r="C85" s="2"/>
      <c r="D85" s="6"/>
      <c r="E85" s="6"/>
      <c r="F85" s="9"/>
      <c r="G85" s="9"/>
      <c r="H85" s="9">
        <f>IFERROR(log_8[[#This Row],[Reps]]*log_8[[#This Row],[Sets]],"")</f>
        <v>0</v>
      </c>
      <c r="I85" s="9">
        <f>IFERROR(log_8[[#This Row],[Weight Value]]*log_8[[#This Row],[Reps]]*log_8[[#This Row],[Sets]],"")</f>
        <v>0</v>
      </c>
      <c r="J85" s="2"/>
    </row>
    <row r="86" spans="1:10" x14ac:dyDescent="0.3">
      <c r="A86" s="14"/>
      <c r="B86" s="14"/>
      <c r="C86" s="2"/>
      <c r="D86" s="6"/>
      <c r="E86" s="6"/>
      <c r="F86" s="9"/>
      <c r="G86" s="9"/>
      <c r="H86" s="9">
        <f>IFERROR(log_8[[#This Row],[Reps]]*log_8[[#This Row],[Sets]],"")</f>
        <v>0</v>
      </c>
      <c r="I86" s="9">
        <f>IFERROR(log_8[[#This Row],[Weight Value]]*log_8[[#This Row],[Reps]]*log_8[[#This Row],[Sets]],"")</f>
        <v>0</v>
      </c>
      <c r="J86" s="2"/>
    </row>
    <row r="87" spans="1:10" x14ac:dyDescent="0.3">
      <c r="A87" s="14"/>
      <c r="B87" s="14"/>
      <c r="C87" s="2"/>
      <c r="D87" s="6"/>
      <c r="E87" s="6"/>
      <c r="F87" s="9"/>
      <c r="G87" s="9"/>
      <c r="H87" s="9">
        <f>IFERROR(log_8[[#This Row],[Reps]]*log_8[[#This Row],[Sets]],"")</f>
        <v>0</v>
      </c>
      <c r="I87" s="9">
        <f>IFERROR(log_8[[#This Row],[Weight Value]]*log_8[[#This Row],[Reps]]*log_8[[#This Row],[Sets]],"")</f>
        <v>0</v>
      </c>
      <c r="J87" s="6"/>
    </row>
    <row r="88" spans="1:10" x14ac:dyDescent="0.3">
      <c r="A88" s="14"/>
      <c r="B88" s="14"/>
      <c r="C88" s="2"/>
      <c r="D88" s="6"/>
      <c r="E88" s="6"/>
      <c r="F88" s="9"/>
      <c r="G88" s="9"/>
      <c r="H88" s="9">
        <f>IFERROR(log_8[[#This Row],[Reps]]*log_8[[#This Row],[Sets]],"")</f>
        <v>0</v>
      </c>
      <c r="I88" s="9">
        <f>IFERROR(log_8[[#This Row],[Weight Value]]*log_8[[#This Row],[Reps]]*log_8[[#This Row],[Sets]],"")</f>
        <v>0</v>
      </c>
      <c r="J88" s="2"/>
    </row>
    <row r="89" spans="1:10" x14ac:dyDescent="0.3">
      <c r="A89" s="14"/>
      <c r="B89" s="14"/>
      <c r="C89" s="2"/>
      <c r="D89" s="6"/>
      <c r="E89" s="6"/>
      <c r="F89" s="9"/>
      <c r="G89" s="9"/>
      <c r="H89" s="9">
        <f>IFERROR(log_8[[#This Row],[Reps]]*log_8[[#This Row],[Sets]],"")</f>
        <v>0</v>
      </c>
      <c r="I89" s="9">
        <f>IFERROR(log_8[[#This Row],[Weight Value]]*log_8[[#This Row],[Reps]]*log_8[[#This Row],[Sets]],"")</f>
        <v>0</v>
      </c>
      <c r="J89" s="2"/>
    </row>
    <row r="90" spans="1:10" x14ac:dyDescent="0.3">
      <c r="A90" s="14"/>
      <c r="B90" s="14"/>
      <c r="C90" s="2"/>
      <c r="D90" s="6"/>
      <c r="E90" s="6"/>
      <c r="F90" s="9"/>
      <c r="G90" s="9"/>
      <c r="H90" s="9">
        <f>IFERROR(log_8[[#This Row],[Reps]]*log_8[[#This Row],[Sets]],"")</f>
        <v>0</v>
      </c>
      <c r="I90" s="9">
        <f>IFERROR(log_8[[#This Row],[Weight Value]]*log_8[[#This Row],[Reps]]*log_8[[#This Row],[Sets]],"")</f>
        <v>0</v>
      </c>
      <c r="J90" s="2"/>
    </row>
    <row r="91" spans="1:10" x14ac:dyDescent="0.3">
      <c r="A91" s="14"/>
      <c r="B91" s="14"/>
      <c r="C91" s="2"/>
      <c r="D91" s="6"/>
      <c r="E91" s="6"/>
      <c r="F91" s="9"/>
      <c r="G91" s="9"/>
      <c r="H91" s="9">
        <f>IFERROR(log_8[[#This Row],[Reps]]*log_8[[#This Row],[Sets]],"")</f>
        <v>0</v>
      </c>
      <c r="I91" s="9">
        <f>IFERROR(log_8[[#This Row],[Weight Value]]*log_8[[#This Row],[Reps]]*log_8[[#This Row],[Sets]],"")</f>
        <v>0</v>
      </c>
      <c r="J91" s="2"/>
    </row>
    <row r="92" spans="1:10" x14ac:dyDescent="0.3">
      <c r="A92" s="14"/>
      <c r="B92" s="14"/>
      <c r="C92" s="8"/>
      <c r="D92" s="6"/>
      <c r="E92" s="9"/>
      <c r="F92" s="9"/>
      <c r="G92" s="9"/>
      <c r="H92" s="9">
        <f>IFERROR(log_8[[#This Row],[Reps]]*log_8[[#This Row],[Sets]],"")</f>
        <v>0</v>
      </c>
      <c r="I92" s="9">
        <f>IFERROR(log_8[[#This Row],[Weight Value]]*log_8[[#This Row],[Reps]]*log_8[[#This Row],[Sets]],"")</f>
        <v>0</v>
      </c>
      <c r="J92" s="2"/>
    </row>
    <row r="93" spans="1:10" x14ac:dyDescent="0.3">
      <c r="A93" s="14"/>
      <c r="B93" s="14"/>
      <c r="C93" s="2"/>
      <c r="D93" s="6"/>
      <c r="E93" s="6"/>
      <c r="F93" s="9"/>
      <c r="G93" s="9"/>
      <c r="H93" s="9">
        <f>IFERROR(log_8[[#This Row],[Reps]]*log_8[[#This Row],[Sets]],"")</f>
        <v>0</v>
      </c>
      <c r="I93" s="9">
        <f>IFERROR(log_8[[#This Row],[Weight Value]]*log_8[[#This Row],[Reps]]*log_8[[#This Row],[Sets]],"")</f>
        <v>0</v>
      </c>
      <c r="J93" s="2"/>
    </row>
    <row r="94" spans="1:10" x14ac:dyDescent="0.3">
      <c r="A94" s="14"/>
      <c r="B94" s="14"/>
      <c r="C94" s="2"/>
      <c r="D94" s="6"/>
      <c r="E94" s="6"/>
      <c r="F94" s="9"/>
      <c r="G94" s="9"/>
      <c r="H94" s="9">
        <f>IFERROR(log_8[[#This Row],[Reps]]*log_8[[#This Row],[Sets]],"")</f>
        <v>0</v>
      </c>
      <c r="I94" s="9">
        <f>IFERROR(log_8[[#This Row],[Weight Value]]*log_8[[#This Row],[Reps]]*log_8[[#This Row],[Sets]],"")</f>
        <v>0</v>
      </c>
      <c r="J94" s="2"/>
    </row>
    <row r="95" spans="1:10" x14ac:dyDescent="0.3">
      <c r="A95" s="14"/>
      <c r="B95" s="14"/>
      <c r="C95" s="2"/>
      <c r="D95" s="6"/>
      <c r="E95" s="6"/>
      <c r="F95" s="9"/>
      <c r="G95" s="9"/>
      <c r="H95" s="9">
        <f>IFERROR(log_8[[#This Row],[Reps]]*log_8[[#This Row],[Sets]],"")</f>
        <v>0</v>
      </c>
      <c r="I95" s="9">
        <f>IFERROR(log_8[[#This Row],[Weight Value]]*log_8[[#This Row],[Reps]]*log_8[[#This Row],[Sets]],"")</f>
        <v>0</v>
      </c>
      <c r="J95" s="2"/>
    </row>
    <row r="96" spans="1:10" x14ac:dyDescent="0.3">
      <c r="A96" s="14"/>
      <c r="B96" s="14"/>
      <c r="C96" s="2"/>
      <c r="D96" s="6"/>
      <c r="E96" s="6"/>
      <c r="F96" s="9"/>
      <c r="G96" s="9"/>
      <c r="H96" s="9">
        <f>IFERROR(log_8[[#This Row],[Reps]]*log_8[[#This Row],[Sets]],"")</f>
        <v>0</v>
      </c>
      <c r="I96" s="9">
        <f>IFERROR(log_8[[#This Row],[Weight Value]]*log_8[[#This Row],[Reps]]*log_8[[#This Row],[Sets]],"")</f>
        <v>0</v>
      </c>
      <c r="J96" s="6"/>
    </row>
    <row r="97" spans="1:10" x14ac:dyDescent="0.3">
      <c r="A97" s="16"/>
      <c r="B97" s="16"/>
      <c r="C97" s="2"/>
      <c r="D97" s="6"/>
      <c r="E97" s="6"/>
      <c r="F97" s="9"/>
      <c r="G97" s="9"/>
      <c r="H97" s="9">
        <f>IFERROR(log_8[[#This Row],[Reps]]*log_8[[#This Row],[Sets]],"")</f>
        <v>0</v>
      </c>
      <c r="I97" s="9">
        <f>IFERROR(log_8[[#This Row],[Weight Value]]*log_8[[#This Row],[Reps]]*log_8[[#This Row],[Sets]],"")</f>
        <v>0</v>
      </c>
      <c r="J97" s="2"/>
    </row>
    <row r="98" spans="1:10" x14ac:dyDescent="0.3">
      <c r="A98" s="16"/>
      <c r="B98" s="16"/>
      <c r="C98" s="2"/>
      <c r="D98" s="6"/>
      <c r="E98" s="6"/>
      <c r="F98" s="9"/>
      <c r="G98" s="9"/>
      <c r="H98" s="9">
        <f>IFERROR(log_8[[#This Row],[Reps]]*log_8[[#This Row],[Sets]],"")</f>
        <v>0</v>
      </c>
      <c r="I98" s="9">
        <f>IFERROR(log_8[[#This Row],[Weight Value]]*log_8[[#This Row],[Reps]]*log_8[[#This Row],[Sets]],"")</f>
        <v>0</v>
      </c>
      <c r="J98" s="2"/>
    </row>
    <row r="99" spans="1:10" x14ac:dyDescent="0.3">
      <c r="A99" s="16"/>
      <c r="B99" s="16"/>
      <c r="C99" s="2"/>
      <c r="D99" s="6"/>
      <c r="E99" s="6"/>
      <c r="F99" s="9"/>
      <c r="G99" s="9"/>
      <c r="H99" s="9">
        <f>IFERROR(log_8[[#This Row],[Reps]]*log_8[[#This Row],[Sets]],"")</f>
        <v>0</v>
      </c>
      <c r="I99" s="9">
        <f>IFERROR(log_8[[#This Row],[Weight Value]]*log_8[[#This Row],[Reps]]*log_8[[#This Row],[Sets]],"")</f>
        <v>0</v>
      </c>
      <c r="J99" s="2"/>
    </row>
    <row r="100" spans="1:10" x14ac:dyDescent="0.3">
      <c r="A100" s="16"/>
      <c r="B100" s="16"/>
      <c r="C100" s="2"/>
      <c r="D100" s="6"/>
      <c r="E100" s="6"/>
      <c r="F100" s="9"/>
      <c r="G100" s="9"/>
      <c r="H100" s="9">
        <f>IFERROR(log_8[[#This Row],[Reps]]*log_8[[#This Row],[Sets]],"")</f>
        <v>0</v>
      </c>
      <c r="I100" s="9">
        <f>IFERROR(log_8[[#This Row],[Weight Value]]*log_8[[#This Row],[Reps]]*log_8[[#This Row],[Sets]],"")</f>
        <v>0</v>
      </c>
      <c r="J100" s="2"/>
    </row>
    <row r="101" spans="1:10" x14ac:dyDescent="0.3">
      <c r="A101" s="16"/>
      <c r="B101" s="16"/>
      <c r="C101" s="17"/>
      <c r="D101" s="6"/>
      <c r="E101" s="6"/>
      <c r="F101" s="9"/>
      <c r="G101" s="9"/>
      <c r="H101" s="9">
        <f>IFERROR(log_8[[#This Row],[Reps]]*log_8[[#This Row],[Sets]],"")</f>
        <v>0</v>
      </c>
      <c r="I101" s="9">
        <f>IFERROR(log_8[[#This Row],[Weight Value]]*log_8[[#This Row],[Reps]]*log_8[[#This Row],[Sets]],"")</f>
        <v>0</v>
      </c>
      <c r="J101" s="2"/>
    </row>
    <row r="102" spans="1:10" x14ac:dyDescent="0.3">
      <c r="A102" s="16"/>
      <c r="B102" s="16"/>
      <c r="C102" s="2"/>
      <c r="D102" s="6"/>
      <c r="E102" s="6"/>
      <c r="F102" s="9"/>
      <c r="G102" s="9"/>
      <c r="H102" s="9">
        <f>IFERROR(log_8[[#This Row],[Reps]]*log_8[[#This Row],[Sets]],"")</f>
        <v>0</v>
      </c>
      <c r="I102" s="9">
        <f>IFERROR(log_8[[#This Row],[Weight Value]]*log_8[[#This Row],[Reps]]*log_8[[#This Row],[Sets]],"")</f>
        <v>0</v>
      </c>
      <c r="J102" s="2"/>
    </row>
    <row r="103" spans="1:10" x14ac:dyDescent="0.3">
      <c r="A103" s="16"/>
      <c r="B103" s="16"/>
      <c r="C103" s="2"/>
      <c r="D103" s="6"/>
      <c r="E103" s="6"/>
      <c r="F103" s="9"/>
      <c r="G103" s="9"/>
      <c r="H103" s="9">
        <f>IFERROR(log_8[[#This Row],[Reps]]*log_8[[#This Row],[Sets]],"")</f>
        <v>0</v>
      </c>
      <c r="I103" s="9">
        <f>IFERROR(log_8[[#This Row],[Weight Value]]*log_8[[#This Row],[Reps]]*log_8[[#This Row],[Sets]],"")</f>
        <v>0</v>
      </c>
      <c r="J103" s="2"/>
    </row>
    <row r="104" spans="1:10" x14ac:dyDescent="0.3">
      <c r="A104" s="16"/>
      <c r="B104" s="16"/>
      <c r="C104" s="8"/>
      <c r="D104" s="6"/>
      <c r="E104" s="6"/>
      <c r="F104" s="9"/>
      <c r="G104" s="9"/>
      <c r="H104" s="9">
        <f>IFERROR(log_8[[#This Row],[Reps]]*log_8[[#This Row],[Sets]],"")</f>
        <v>0</v>
      </c>
      <c r="I104" s="9">
        <f>IFERROR(log_8[[#This Row],[Weight Value]]*log_8[[#This Row],[Reps]]*log_8[[#This Row],[Sets]],"")</f>
        <v>0</v>
      </c>
      <c r="J104" s="2"/>
    </row>
    <row r="105" spans="1:10" x14ac:dyDescent="0.3">
      <c r="A105" s="16"/>
      <c r="B105" s="16"/>
      <c r="C105" s="2"/>
      <c r="D105" s="6"/>
      <c r="E105" s="6"/>
      <c r="F105" s="9"/>
      <c r="G105" s="9"/>
      <c r="H105" s="9">
        <f>IFERROR(log_8[[#This Row],[Reps]]*log_8[[#This Row],[Sets]],"")</f>
        <v>0</v>
      </c>
      <c r="I105" s="9">
        <f>IFERROR(log_8[[#This Row],[Weight Value]]*log_8[[#This Row],[Reps]]*log_8[[#This Row],[Sets]],"")</f>
        <v>0</v>
      </c>
      <c r="J105" s="6"/>
    </row>
    <row r="106" spans="1:10" x14ac:dyDescent="0.3">
      <c r="A106" s="16"/>
      <c r="B106" s="16"/>
      <c r="C106" s="2"/>
      <c r="D106" s="6"/>
      <c r="E106" s="6"/>
      <c r="F106" s="9"/>
      <c r="G106" s="9"/>
      <c r="H106" s="9">
        <f>IFERROR(log_8[[#This Row],[Reps]]*log_8[[#This Row],[Sets]],"")</f>
        <v>0</v>
      </c>
      <c r="I106" s="9">
        <f>IFERROR(log_8[[#This Row],[Weight Value]]*log_8[[#This Row],[Reps]]*log_8[[#This Row],[Sets]],"")</f>
        <v>0</v>
      </c>
      <c r="J106" s="2"/>
    </row>
    <row r="107" spans="1:10" x14ac:dyDescent="0.3">
      <c r="A107" s="16"/>
      <c r="B107" s="16"/>
      <c r="C107" s="2"/>
      <c r="D107" s="6"/>
      <c r="E107" s="6"/>
      <c r="F107" s="9"/>
      <c r="G107" s="9"/>
      <c r="H107" s="9">
        <f>IFERROR(log_8[[#This Row],[Reps]]*log_8[[#This Row],[Sets]],"")</f>
        <v>0</v>
      </c>
      <c r="I107" s="9">
        <f>IFERROR(log_8[[#This Row],[Weight Value]]*log_8[[#This Row],[Reps]]*log_8[[#This Row],[Sets]],"")</f>
        <v>0</v>
      </c>
      <c r="J107" s="2"/>
    </row>
    <row r="108" spans="1:10" x14ac:dyDescent="0.3">
      <c r="A108" s="16"/>
      <c r="B108" s="16"/>
      <c r="C108" s="2"/>
      <c r="D108" s="6"/>
      <c r="E108" s="6"/>
      <c r="F108" s="9"/>
      <c r="G108" s="9"/>
      <c r="H108" s="9">
        <f>IFERROR(log_8[[#This Row],[Reps]]*log_8[[#This Row],[Sets]],"")</f>
        <v>0</v>
      </c>
      <c r="I108" s="9">
        <f>IFERROR(log_8[[#This Row],[Weight Value]]*log_8[[#This Row],[Reps]]*log_8[[#This Row],[Sets]],"")</f>
        <v>0</v>
      </c>
      <c r="J108" s="2"/>
    </row>
    <row r="109" spans="1:10" x14ac:dyDescent="0.3">
      <c r="A109" s="16"/>
      <c r="B109" s="16"/>
      <c r="C109" s="2"/>
      <c r="D109" s="6"/>
      <c r="E109" s="6"/>
      <c r="F109" s="9"/>
      <c r="G109" s="9"/>
      <c r="H109" s="9">
        <f>IFERROR(log_8[[#This Row],[Reps]]*log_8[[#This Row],[Sets]],"")</f>
        <v>0</v>
      </c>
      <c r="I109" s="9">
        <f>IFERROR(log_8[[#This Row],[Weight Value]]*log_8[[#This Row],[Reps]]*log_8[[#This Row],[Sets]],"")</f>
        <v>0</v>
      </c>
      <c r="J109" s="2"/>
    </row>
    <row r="110" spans="1:10" x14ac:dyDescent="0.3">
      <c r="A110" s="16"/>
      <c r="B110" s="16"/>
      <c r="C110" s="2"/>
      <c r="D110" s="6"/>
      <c r="E110" s="6"/>
      <c r="F110" s="9"/>
      <c r="G110" s="9"/>
      <c r="H110" s="9">
        <f>IFERROR(log_8[[#This Row],[Reps]]*log_8[[#This Row],[Sets]],"")</f>
        <v>0</v>
      </c>
      <c r="I110" s="9">
        <f>IFERROR(log_8[[#This Row],[Weight Value]]*log_8[[#This Row],[Reps]]*log_8[[#This Row],[Sets]],"")</f>
        <v>0</v>
      </c>
      <c r="J110" s="2"/>
    </row>
    <row r="111" spans="1:10" x14ac:dyDescent="0.3">
      <c r="A111" s="16"/>
      <c r="B111" s="16"/>
      <c r="C111" s="2"/>
      <c r="D111" s="6"/>
      <c r="E111" s="6"/>
      <c r="F111" s="9"/>
      <c r="G111" s="9"/>
      <c r="H111" s="9">
        <f>IFERROR(log_8[[#This Row],[Reps]]*log_8[[#This Row],[Sets]],"")</f>
        <v>0</v>
      </c>
      <c r="I111" s="9">
        <f>IFERROR(log_8[[#This Row],[Weight Value]]*log_8[[#This Row],[Reps]]*log_8[[#This Row],[Sets]],"")</f>
        <v>0</v>
      </c>
      <c r="J111" s="2"/>
    </row>
    <row r="112" spans="1:10" x14ac:dyDescent="0.3">
      <c r="A112" s="16"/>
      <c r="B112" s="16"/>
      <c r="C112" s="2"/>
      <c r="D112" s="6"/>
      <c r="E112" s="6"/>
      <c r="F112" s="9"/>
      <c r="G112" s="9"/>
      <c r="H112" s="9">
        <f>IFERROR(log_8[[#This Row],[Reps]]*log_8[[#This Row],[Sets]],"")</f>
        <v>0</v>
      </c>
      <c r="I112" s="9">
        <f>IFERROR(log_8[[#This Row],[Weight Value]]*log_8[[#This Row],[Reps]]*log_8[[#This Row],[Sets]],"")</f>
        <v>0</v>
      </c>
      <c r="J112" s="2"/>
    </row>
    <row r="113" spans="1:10" x14ac:dyDescent="0.3">
      <c r="A113" s="16"/>
      <c r="B113" s="16"/>
      <c r="C113" s="2"/>
      <c r="D113" s="6"/>
      <c r="E113" s="6"/>
      <c r="F113" s="9"/>
      <c r="G113" s="9"/>
      <c r="H113" s="9">
        <f>IFERROR(log_8[[#This Row],[Reps]]*log_8[[#This Row],[Sets]],"")</f>
        <v>0</v>
      </c>
      <c r="I113" s="9">
        <f>IFERROR(log_8[[#This Row],[Weight Value]]*log_8[[#This Row],[Reps]]*log_8[[#This Row],[Sets]],"")</f>
        <v>0</v>
      </c>
      <c r="J113" s="2"/>
    </row>
    <row r="114" spans="1:10" x14ac:dyDescent="0.3">
      <c r="A114" s="16"/>
      <c r="B114" s="16"/>
      <c r="C114" s="2"/>
      <c r="D114" s="6"/>
      <c r="E114" s="6"/>
      <c r="F114" s="9"/>
      <c r="G114" s="9"/>
      <c r="H114" s="9">
        <f>IFERROR(log_8[[#This Row],[Reps]]*log_8[[#This Row],[Sets]],"")</f>
        <v>0</v>
      </c>
      <c r="I114" s="9">
        <f>IFERROR(log_8[[#This Row],[Weight Value]]*log_8[[#This Row],[Reps]]*log_8[[#This Row],[Sets]],"")</f>
        <v>0</v>
      </c>
      <c r="J114" s="2"/>
    </row>
    <row r="115" spans="1:10" x14ac:dyDescent="0.3">
      <c r="A115" s="16"/>
      <c r="B115" s="16"/>
      <c r="C115" s="2"/>
      <c r="D115" s="6"/>
      <c r="E115" s="6"/>
      <c r="F115" s="9"/>
      <c r="G115" s="9"/>
      <c r="H115" s="9">
        <f>IFERROR(log_8[[#This Row],[Reps]]*log_8[[#This Row],[Sets]],"")</f>
        <v>0</v>
      </c>
      <c r="I115" s="9">
        <f>IFERROR(log_8[[#This Row],[Weight Value]]*log_8[[#This Row],[Reps]]*log_8[[#This Row],[Sets]],"")</f>
        <v>0</v>
      </c>
      <c r="J115" s="2"/>
    </row>
    <row r="116" spans="1:10" x14ac:dyDescent="0.3">
      <c r="A116" s="16"/>
      <c r="B116" s="16"/>
      <c r="C116" s="2"/>
      <c r="D116" s="6"/>
      <c r="E116" s="6"/>
      <c r="F116" s="9"/>
      <c r="G116" s="9"/>
      <c r="H116" s="9">
        <f>IFERROR(log_8[[#This Row],[Reps]]*log_8[[#This Row],[Sets]],"")</f>
        <v>0</v>
      </c>
      <c r="I116" s="9">
        <f>IFERROR(log_8[[#This Row],[Weight Value]]*log_8[[#This Row],[Reps]]*log_8[[#This Row],[Sets]],"")</f>
        <v>0</v>
      </c>
      <c r="J116" s="2"/>
    </row>
    <row r="117" spans="1:10" x14ac:dyDescent="0.3">
      <c r="A117" s="16"/>
      <c r="B117" s="16"/>
      <c r="C117" s="2"/>
      <c r="D117" s="6"/>
      <c r="E117" s="6"/>
      <c r="F117" s="9"/>
      <c r="G117" s="9"/>
      <c r="H117" s="9">
        <f>IFERROR(log_8[[#This Row],[Reps]]*log_8[[#This Row],[Sets]],"")</f>
        <v>0</v>
      </c>
      <c r="I117" s="9">
        <f>IFERROR(log_8[[#This Row],[Weight Value]]*log_8[[#This Row],[Reps]]*log_8[[#This Row],[Sets]],"")</f>
        <v>0</v>
      </c>
      <c r="J117" s="2"/>
    </row>
    <row r="118" spans="1:10" x14ac:dyDescent="0.3">
      <c r="A118" s="16"/>
      <c r="B118" s="16"/>
      <c r="C118" s="2"/>
      <c r="D118" s="6"/>
      <c r="E118" s="6"/>
      <c r="F118" s="9"/>
      <c r="G118" s="9"/>
      <c r="H118" s="9">
        <f>IFERROR(log_8[[#This Row],[Reps]]*log_8[[#This Row],[Sets]],"")</f>
        <v>0</v>
      </c>
      <c r="I118" s="9">
        <f>IFERROR(log_8[[#This Row],[Weight Value]]*log_8[[#This Row],[Reps]]*log_8[[#This Row],[Sets]],"")</f>
        <v>0</v>
      </c>
      <c r="J118" s="2"/>
    </row>
    <row r="119" spans="1:10" x14ac:dyDescent="0.3">
      <c r="A119" s="16"/>
      <c r="B119" s="16"/>
      <c r="C119" s="2"/>
      <c r="D119" s="6"/>
      <c r="E119" s="6"/>
      <c r="F119" s="9"/>
      <c r="G119" s="9"/>
      <c r="H119" s="9">
        <f>IFERROR(log_8[[#This Row],[Reps]]*log_8[[#This Row],[Sets]],"")</f>
        <v>0</v>
      </c>
      <c r="I119" s="9">
        <f>IFERROR(log_8[[#This Row],[Weight Value]]*log_8[[#This Row],[Reps]]*log_8[[#This Row],[Sets]],"")</f>
        <v>0</v>
      </c>
      <c r="J119" s="2"/>
    </row>
    <row r="120" spans="1:10" x14ac:dyDescent="0.3">
      <c r="A120" s="16"/>
      <c r="B120" s="16"/>
      <c r="C120" s="2"/>
      <c r="D120" s="6"/>
      <c r="E120" s="6"/>
      <c r="F120" s="9"/>
      <c r="G120" s="9"/>
      <c r="H120" s="9">
        <f>IFERROR(log_8[[#This Row],[Reps]]*log_8[[#This Row],[Sets]],"")</f>
        <v>0</v>
      </c>
      <c r="I120" s="9">
        <f>IFERROR(log_8[[#This Row],[Weight Value]]*log_8[[#This Row],[Reps]]*log_8[[#This Row],[Sets]],"")</f>
        <v>0</v>
      </c>
      <c r="J120" s="2"/>
    </row>
    <row r="121" spans="1:10" x14ac:dyDescent="0.3">
      <c r="A121" s="16"/>
      <c r="B121" s="16"/>
      <c r="C121" s="2"/>
      <c r="D121" s="6"/>
      <c r="E121" s="6"/>
      <c r="F121" s="9"/>
      <c r="G121" s="9"/>
      <c r="H121" s="9">
        <f>IFERROR(log_8[[#This Row],[Reps]]*log_8[[#This Row],[Sets]],"")</f>
        <v>0</v>
      </c>
      <c r="I121" s="9">
        <f>IFERROR(log_8[[#This Row],[Weight Value]]*log_8[[#This Row],[Reps]]*log_8[[#This Row],[Sets]],"")</f>
        <v>0</v>
      </c>
      <c r="J121" s="2"/>
    </row>
    <row r="122" spans="1:10" x14ac:dyDescent="0.3">
      <c r="A122" s="16"/>
      <c r="B122" s="16"/>
      <c r="C122" s="2"/>
      <c r="D122" s="6"/>
      <c r="E122" s="6"/>
      <c r="F122" s="9"/>
      <c r="G122" s="9"/>
      <c r="H122" s="9">
        <f>IFERROR(log_8[[#This Row],[Reps]]*log_8[[#This Row],[Sets]],"")</f>
        <v>0</v>
      </c>
      <c r="I122" s="9">
        <f>IFERROR(log_8[[#This Row],[Weight Value]]*log_8[[#This Row],[Reps]]*log_8[[#This Row],[Sets]],"")</f>
        <v>0</v>
      </c>
      <c r="J122" s="2"/>
    </row>
    <row r="123" spans="1:10" x14ac:dyDescent="0.3">
      <c r="A123" s="16"/>
      <c r="B123" s="16"/>
      <c r="C123" s="2"/>
      <c r="D123" s="6"/>
      <c r="E123" s="6"/>
      <c r="F123" s="9"/>
      <c r="G123" s="9"/>
      <c r="H123" s="9">
        <f>IFERROR(log_8[[#This Row],[Reps]]*log_8[[#This Row],[Sets]],"")</f>
        <v>0</v>
      </c>
      <c r="I123" s="9">
        <f>IFERROR(log_8[[#This Row],[Weight Value]]*log_8[[#This Row],[Reps]]*log_8[[#This Row],[Sets]],"")</f>
        <v>0</v>
      </c>
      <c r="J123" s="2"/>
    </row>
    <row r="124" spans="1:10" x14ac:dyDescent="0.3">
      <c r="A124" s="16"/>
      <c r="B124" s="16"/>
      <c r="C124" s="2"/>
      <c r="D124" s="6"/>
      <c r="E124" s="6"/>
      <c r="F124" s="9"/>
      <c r="G124" s="9"/>
      <c r="H124" s="9">
        <f>IFERROR(log_8[[#This Row],[Reps]]*log_8[[#This Row],[Sets]],"")</f>
        <v>0</v>
      </c>
      <c r="I124" s="9">
        <f>IFERROR(log_8[[#This Row],[Weight Value]]*log_8[[#This Row],[Reps]]*log_8[[#This Row],[Sets]],"")</f>
        <v>0</v>
      </c>
      <c r="J124" s="2"/>
    </row>
    <row r="125" spans="1:10" x14ac:dyDescent="0.3">
      <c r="A125" s="16"/>
      <c r="B125" s="16"/>
      <c r="C125" s="2"/>
      <c r="D125" s="6"/>
      <c r="E125" s="6"/>
      <c r="F125" s="9"/>
      <c r="G125" s="9"/>
      <c r="H125" s="9">
        <f>IFERROR(log_8[[#This Row],[Reps]]*log_8[[#This Row],[Sets]],"")</f>
        <v>0</v>
      </c>
      <c r="I125" s="9">
        <f>IFERROR(log_8[[#This Row],[Weight Value]]*log_8[[#This Row],[Reps]]*log_8[[#This Row],[Sets]],"")</f>
        <v>0</v>
      </c>
      <c r="J125" s="2"/>
    </row>
    <row r="126" spans="1:10" x14ac:dyDescent="0.3">
      <c r="A126" s="16"/>
      <c r="B126" s="16"/>
      <c r="C126" s="2"/>
      <c r="D126" s="6"/>
      <c r="E126" s="6"/>
      <c r="F126" s="9"/>
      <c r="G126" s="9"/>
      <c r="H126" s="9">
        <f>IFERROR(log_8[[#This Row],[Reps]]*log_8[[#This Row],[Sets]],"")</f>
        <v>0</v>
      </c>
      <c r="I126" s="9">
        <f>IFERROR(log_8[[#This Row],[Weight Value]]*log_8[[#This Row],[Reps]]*log_8[[#This Row],[Sets]],"")</f>
        <v>0</v>
      </c>
      <c r="J126" s="2"/>
    </row>
    <row r="127" spans="1:10" x14ac:dyDescent="0.3">
      <c r="A127" s="16"/>
      <c r="B127" s="16"/>
      <c r="C127" s="2"/>
      <c r="D127" s="6"/>
      <c r="E127" s="6"/>
      <c r="F127" s="9"/>
      <c r="G127" s="9"/>
      <c r="H127" s="9">
        <f>IFERROR(log_8[[#This Row],[Reps]]*log_8[[#This Row],[Sets]],"")</f>
        <v>0</v>
      </c>
      <c r="I127" s="9">
        <f>IFERROR(log_8[[#This Row],[Weight Value]]*log_8[[#This Row],[Reps]]*log_8[[#This Row],[Sets]],"")</f>
        <v>0</v>
      </c>
      <c r="J127" s="2"/>
    </row>
    <row r="128" spans="1:10" x14ac:dyDescent="0.3">
      <c r="A128" s="16"/>
      <c r="B128" s="16"/>
      <c r="C128" s="2"/>
      <c r="D128" s="6"/>
      <c r="E128" s="6"/>
      <c r="F128" s="9"/>
      <c r="G128" s="9"/>
      <c r="H128" s="9">
        <f>IFERROR(log_8[[#This Row],[Reps]]*log_8[[#This Row],[Sets]],"")</f>
        <v>0</v>
      </c>
      <c r="I128" s="9">
        <f>IFERROR(log_8[[#This Row],[Weight Value]]*log_8[[#This Row],[Reps]]*log_8[[#This Row],[Sets]],"")</f>
        <v>0</v>
      </c>
      <c r="J128" s="2"/>
    </row>
    <row r="129" spans="1:10" x14ac:dyDescent="0.3">
      <c r="A129" s="16"/>
      <c r="B129" s="16"/>
      <c r="C129" s="2"/>
      <c r="D129" s="6"/>
      <c r="E129" s="6"/>
      <c r="F129" s="9"/>
      <c r="G129" s="9"/>
      <c r="H129" s="9">
        <f>IFERROR(log_8[[#This Row],[Reps]]*log_8[[#This Row],[Sets]],"")</f>
        <v>0</v>
      </c>
      <c r="I129" s="9">
        <f>IFERROR(log_8[[#This Row],[Weight Value]]*log_8[[#This Row],[Reps]]*log_8[[#This Row],[Sets]],"")</f>
        <v>0</v>
      </c>
      <c r="J129" s="2"/>
    </row>
    <row r="130" spans="1:10" x14ac:dyDescent="0.3">
      <c r="A130" s="16"/>
      <c r="B130" s="16"/>
      <c r="C130" s="2"/>
      <c r="D130" s="6"/>
      <c r="E130" s="6"/>
      <c r="F130" s="9"/>
      <c r="G130" s="9"/>
      <c r="H130" s="9">
        <f>IFERROR(log_8[[#This Row],[Reps]]*log_8[[#This Row],[Sets]],"")</f>
        <v>0</v>
      </c>
      <c r="I130" s="9">
        <f>IFERROR(log_8[[#This Row],[Weight Value]]*log_8[[#This Row],[Reps]]*log_8[[#This Row],[Sets]],"")</f>
        <v>0</v>
      </c>
      <c r="J130" s="6"/>
    </row>
    <row r="131" spans="1:10" x14ac:dyDescent="0.3">
      <c r="A131" s="16"/>
      <c r="B131" s="16"/>
      <c r="C131" s="2"/>
      <c r="D131" s="6"/>
      <c r="E131" s="6"/>
      <c r="F131" s="9"/>
      <c r="G131" s="9"/>
      <c r="H131" s="9">
        <f>IFERROR(log_8[[#This Row],[Reps]]*log_8[[#This Row],[Sets]],"")</f>
        <v>0</v>
      </c>
      <c r="I131" s="9">
        <f>IFERROR(log_8[[#This Row],[Weight Value]]*log_8[[#This Row],[Reps]]*log_8[[#This Row],[Sets]],"")</f>
        <v>0</v>
      </c>
      <c r="J131" s="2"/>
    </row>
  </sheetData>
  <dataValidations count="2">
    <dataValidation type="list" allowBlank="1" showInputMessage="1" showErrorMessage="1" sqref="E1:E1048576" xr:uid="{5A03D749-B3DF-436E-BABB-F1AB972E5919}">
      <formula1>UnitList</formula1>
    </dataValidation>
    <dataValidation type="list" allowBlank="1" showInputMessage="1" showErrorMessage="1" sqref="C1:C1048576" xr:uid="{A9F5CB72-A4B1-4E7D-A5EE-CFEE49587090}">
      <formula1>ExerciseList</formula1>
    </dataValidation>
  </dataValidations>
  <pageMargins left="0.75" right="0.75" top="1" bottom="1" header="0.5" footer="0.5"/>
  <headerFooter>
    <oddFooter>&amp;L_x000D_&amp;1#&amp;"Calibri"&amp;8&amp;K000000 [AIA - INTERNAL]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36747-1A0E-4E04-AE88-DF411578D4F2}">
  <dimension ref="A1:O1493"/>
  <sheetViews>
    <sheetView workbookViewId="0">
      <selection activeCell="M15" sqref="M15"/>
    </sheetView>
  </sheetViews>
  <sheetFormatPr defaultRowHeight="14.4" x14ac:dyDescent="0.3"/>
  <cols>
    <col min="1" max="1" width="21.44140625" customWidth="1"/>
    <col min="2" max="2" width="10.109375" bestFit="1" customWidth="1"/>
    <col min="3" max="3" width="10.21875" customWidth="1"/>
    <col min="5" max="5" width="9.33203125" bestFit="1" customWidth="1"/>
    <col min="12" max="12" width="10.109375" bestFit="1" customWidth="1"/>
  </cols>
  <sheetData>
    <row r="1" spans="1:15" x14ac:dyDescent="0.3">
      <c r="A1" s="29" t="s">
        <v>0</v>
      </c>
      <c r="F1" t="s">
        <v>103</v>
      </c>
      <c r="G1" s="69" t="s">
        <v>107</v>
      </c>
      <c r="H1" t="s">
        <v>104</v>
      </c>
      <c r="O1" s="49"/>
    </row>
    <row r="2" spans="1:15" x14ac:dyDescent="0.3">
      <c r="A2" s="23" t="s">
        <v>4</v>
      </c>
      <c r="C2" s="30" t="s">
        <v>27</v>
      </c>
      <c r="E2" t="s">
        <v>30</v>
      </c>
      <c r="F2" s="48">
        <v>33</v>
      </c>
      <c r="G2" s="69"/>
      <c r="H2">
        <f>ROUND(F2*0.45359237,0)</f>
        <v>15</v>
      </c>
      <c r="I2" t="s">
        <v>105</v>
      </c>
      <c r="O2" s="49"/>
    </row>
    <row r="3" spans="1:15" x14ac:dyDescent="0.3">
      <c r="A3" s="24" t="s">
        <v>5</v>
      </c>
      <c r="C3" t="s">
        <v>29</v>
      </c>
      <c r="E3" t="s">
        <v>29</v>
      </c>
      <c r="F3" s="48"/>
      <c r="G3" s="69"/>
      <c r="H3">
        <f>ROUND(F3/0.45359237,0)</f>
        <v>0</v>
      </c>
      <c r="I3" t="s">
        <v>30</v>
      </c>
      <c r="O3" s="49"/>
    </row>
    <row r="4" spans="1:15" x14ac:dyDescent="0.3">
      <c r="A4" s="23" t="s">
        <v>3</v>
      </c>
      <c r="C4" t="s">
        <v>30</v>
      </c>
      <c r="O4" s="49"/>
    </row>
    <row r="5" spans="1:15" x14ac:dyDescent="0.3">
      <c r="A5" s="24" t="s">
        <v>8</v>
      </c>
      <c r="O5" s="49"/>
    </row>
    <row r="6" spans="1:15" x14ac:dyDescent="0.3">
      <c r="A6" s="25" t="s">
        <v>6</v>
      </c>
      <c r="O6" s="49"/>
    </row>
    <row r="7" spans="1:15" x14ac:dyDescent="0.3">
      <c r="A7" s="24" t="s">
        <v>10</v>
      </c>
      <c r="O7" s="49"/>
    </row>
    <row r="8" spans="1:15" x14ac:dyDescent="0.3">
      <c r="A8" s="23" t="s">
        <v>13</v>
      </c>
      <c r="O8" s="49"/>
    </row>
    <row r="9" spans="1:15" x14ac:dyDescent="0.3">
      <c r="A9" s="26" t="s">
        <v>45</v>
      </c>
      <c r="O9" s="49"/>
    </row>
    <row r="10" spans="1:15" x14ac:dyDescent="0.3">
      <c r="A10" s="23" t="s">
        <v>48</v>
      </c>
      <c r="O10" s="49"/>
    </row>
    <row r="11" spans="1:15" x14ac:dyDescent="0.3">
      <c r="A11" s="27" t="s">
        <v>12</v>
      </c>
      <c r="O11" s="49"/>
    </row>
    <row r="12" spans="1:15" x14ac:dyDescent="0.3">
      <c r="A12" s="27" t="s">
        <v>2</v>
      </c>
      <c r="O12" s="49"/>
    </row>
    <row r="13" spans="1:15" x14ac:dyDescent="0.3">
      <c r="A13" s="28" t="s">
        <v>14</v>
      </c>
      <c r="O13" s="49"/>
    </row>
    <row r="14" spans="1:15" x14ac:dyDescent="0.3">
      <c r="A14" s="28" t="s">
        <v>91</v>
      </c>
      <c r="O14" s="49"/>
    </row>
    <row r="15" spans="1:15" x14ac:dyDescent="0.3">
      <c r="A15" s="28" t="s">
        <v>92</v>
      </c>
      <c r="O15" s="49"/>
    </row>
    <row r="16" spans="1:15" x14ac:dyDescent="0.3">
      <c r="A16" s="28" t="s">
        <v>93</v>
      </c>
      <c r="O16" s="49"/>
    </row>
    <row r="17" spans="1:15" x14ac:dyDescent="0.3">
      <c r="A17" s="28" t="s">
        <v>94</v>
      </c>
      <c r="O17" s="49"/>
    </row>
    <row r="18" spans="1:15" x14ac:dyDescent="0.3">
      <c r="A18" s="28" t="s">
        <v>97</v>
      </c>
      <c r="O18" s="49"/>
    </row>
    <row r="19" spans="1:15" x14ac:dyDescent="0.3">
      <c r="A19" s="28" t="s">
        <v>98</v>
      </c>
      <c r="O19" s="49"/>
    </row>
    <row r="20" spans="1:15" x14ac:dyDescent="0.3">
      <c r="A20" s="28" t="s">
        <v>99</v>
      </c>
      <c r="O20" s="49"/>
    </row>
    <row r="21" spans="1:15" x14ac:dyDescent="0.3">
      <c r="A21" s="28" t="s">
        <v>109</v>
      </c>
      <c r="O21" s="49"/>
    </row>
    <row r="22" spans="1:15" x14ac:dyDescent="0.3">
      <c r="O22" s="49"/>
    </row>
    <row r="23" spans="1:15" x14ac:dyDescent="0.3">
      <c r="O23" s="49"/>
    </row>
    <row r="24" spans="1:15" x14ac:dyDescent="0.3">
      <c r="O24" s="49"/>
    </row>
    <row r="25" spans="1:15" x14ac:dyDescent="0.3">
      <c r="O25" s="49"/>
    </row>
    <row r="26" spans="1:15" x14ac:dyDescent="0.3">
      <c r="O26" s="49"/>
    </row>
    <row r="27" spans="1:15" x14ac:dyDescent="0.3">
      <c r="O27" s="49"/>
    </row>
    <row r="28" spans="1:15" x14ac:dyDescent="0.3">
      <c r="O28" s="49"/>
    </row>
    <row r="29" spans="1:15" x14ac:dyDescent="0.3">
      <c r="O29" s="49"/>
    </row>
    <row r="30" spans="1:15" x14ac:dyDescent="0.3">
      <c r="O30" s="49"/>
    </row>
    <row r="31" spans="1:15" x14ac:dyDescent="0.3">
      <c r="O31" s="49"/>
    </row>
    <row r="32" spans="1:15" x14ac:dyDescent="0.3">
      <c r="A32" s="50" t="s">
        <v>112</v>
      </c>
      <c r="B32" s="70" t="s">
        <v>113</v>
      </c>
      <c r="C32" s="70"/>
      <c r="D32" s="70"/>
      <c r="O32" s="49"/>
    </row>
    <row r="33" spans="1:15" x14ac:dyDescent="0.3">
      <c r="A33" s="49"/>
      <c r="B33" s="51" t="s">
        <v>115</v>
      </c>
      <c r="C33" s="51" t="s">
        <v>116</v>
      </c>
      <c r="D33" s="51" t="s">
        <v>117</v>
      </c>
      <c r="O33" s="49"/>
    </row>
    <row r="34" spans="1:15" hidden="1" x14ac:dyDescent="0.3">
      <c r="A34" s="50">
        <f>MATCH(Calendar!E3,Calendar!$N$1:$N$12,0)</f>
        <v>8</v>
      </c>
      <c r="B34" s="54">
        <v>46023</v>
      </c>
      <c r="C34" s="55" t="str">
        <f t="shared" ref="C34:C97" si="0">TEXT(B34,"ddd")</f>
        <v>Thu</v>
      </c>
      <c r="D34" s="55"/>
      <c r="O34" s="49"/>
    </row>
    <row r="35" spans="1:15" hidden="1" x14ac:dyDescent="0.3">
      <c r="A35" s="56">
        <f>DATE(Calendar!B3,A34,1)</f>
        <v>46235</v>
      </c>
      <c r="B35" s="54">
        <v>46024</v>
      </c>
      <c r="C35" s="55" t="str">
        <f t="shared" si="0"/>
        <v>Fri</v>
      </c>
      <c r="D35" s="55"/>
      <c r="O35" s="49"/>
    </row>
    <row r="36" spans="1:15" hidden="1" x14ac:dyDescent="0.3">
      <c r="A36" s="50">
        <f>WEEKDAY(A35,1)-1</f>
        <v>6</v>
      </c>
      <c r="B36" s="54">
        <v>46025</v>
      </c>
      <c r="C36" s="55" t="str">
        <f t="shared" si="0"/>
        <v>Sat</v>
      </c>
      <c r="D36" s="55"/>
      <c r="O36" s="49"/>
    </row>
    <row r="37" spans="1:15" hidden="1" x14ac:dyDescent="0.3">
      <c r="A37" s="49"/>
      <c r="B37" s="54">
        <v>46026</v>
      </c>
      <c r="C37" s="55" t="str">
        <f t="shared" si="0"/>
        <v>Sun</v>
      </c>
      <c r="D37" s="55"/>
      <c r="O37" s="49"/>
    </row>
    <row r="38" spans="1:15" hidden="1" x14ac:dyDescent="0.3">
      <c r="A38" s="49"/>
      <c r="B38" s="54">
        <v>46027</v>
      </c>
      <c r="C38" s="55" t="str">
        <f t="shared" si="0"/>
        <v>Mon</v>
      </c>
      <c r="D38" s="55"/>
      <c r="O38" s="49"/>
    </row>
    <row r="39" spans="1:15" hidden="1" x14ac:dyDescent="0.3">
      <c r="A39" s="49"/>
      <c r="B39" s="54">
        <v>46028</v>
      </c>
      <c r="C39" s="55" t="str">
        <f t="shared" si="0"/>
        <v>Tue</v>
      </c>
      <c r="D39" s="55"/>
      <c r="O39" s="49"/>
    </row>
    <row r="40" spans="1:15" hidden="1" x14ac:dyDescent="0.3">
      <c r="A40" s="49"/>
      <c r="B40" s="54">
        <v>46029</v>
      </c>
      <c r="C40" s="55" t="str">
        <f t="shared" si="0"/>
        <v>Wed</v>
      </c>
      <c r="D40" s="55"/>
      <c r="O40" s="49"/>
    </row>
    <row r="41" spans="1:15" hidden="1" x14ac:dyDescent="0.3">
      <c r="A41" s="49"/>
      <c r="B41" s="54">
        <v>46030</v>
      </c>
      <c r="C41" s="55" t="str">
        <f t="shared" si="0"/>
        <v>Thu</v>
      </c>
      <c r="D41" s="55"/>
      <c r="O41" s="49"/>
    </row>
    <row r="42" spans="1:15" hidden="1" x14ac:dyDescent="0.3">
      <c r="A42" s="49"/>
      <c r="B42" s="54">
        <v>46031</v>
      </c>
      <c r="C42" s="55" t="str">
        <f t="shared" si="0"/>
        <v>Fri</v>
      </c>
      <c r="D42" s="55"/>
      <c r="O42" s="49"/>
    </row>
    <row r="43" spans="1:15" hidden="1" x14ac:dyDescent="0.3">
      <c r="A43" s="49"/>
      <c r="B43" s="54">
        <v>46032</v>
      </c>
      <c r="C43" s="55" t="str">
        <f t="shared" si="0"/>
        <v>Sat</v>
      </c>
      <c r="D43" s="55"/>
      <c r="O43" s="49"/>
    </row>
    <row r="44" spans="1:15" hidden="1" x14ac:dyDescent="0.3">
      <c r="A44" s="49"/>
      <c r="B44" s="54">
        <v>46033</v>
      </c>
      <c r="C44" s="55" t="str">
        <f t="shared" si="0"/>
        <v>Sun</v>
      </c>
      <c r="D44" s="55"/>
      <c r="O44" s="49"/>
    </row>
    <row r="45" spans="1:15" hidden="1" x14ac:dyDescent="0.3">
      <c r="A45" s="49"/>
      <c r="B45" s="54">
        <v>46034</v>
      </c>
      <c r="C45" s="55" t="str">
        <f t="shared" si="0"/>
        <v>Mon</v>
      </c>
      <c r="D45" s="55"/>
      <c r="O45" s="49"/>
    </row>
    <row r="46" spans="1:15" hidden="1" x14ac:dyDescent="0.3">
      <c r="A46" s="49"/>
      <c r="B46" s="54">
        <v>46035</v>
      </c>
      <c r="C46" s="55" t="str">
        <f t="shared" si="0"/>
        <v>Tue</v>
      </c>
      <c r="D46" s="55"/>
      <c r="O46" s="49"/>
    </row>
    <row r="47" spans="1:15" hidden="1" x14ac:dyDescent="0.3">
      <c r="A47" s="49"/>
      <c r="B47" s="54">
        <v>46036</v>
      </c>
      <c r="C47" s="55" t="str">
        <f t="shared" si="0"/>
        <v>Wed</v>
      </c>
      <c r="D47" s="55"/>
      <c r="O47" s="49"/>
    </row>
    <row r="48" spans="1:15" hidden="1" x14ac:dyDescent="0.3">
      <c r="A48" s="49"/>
      <c r="B48" s="54">
        <v>46037</v>
      </c>
      <c r="C48" s="55" t="str">
        <f t="shared" si="0"/>
        <v>Thu</v>
      </c>
      <c r="D48" s="55"/>
      <c r="O48" s="49"/>
    </row>
    <row r="49" spans="1:15" hidden="1" x14ac:dyDescent="0.3">
      <c r="A49" s="49"/>
      <c r="B49" s="54">
        <v>46039</v>
      </c>
      <c r="C49" s="55" t="str">
        <f t="shared" si="0"/>
        <v>Sat</v>
      </c>
      <c r="D49" s="55"/>
      <c r="O49" s="49"/>
    </row>
    <row r="50" spans="1:15" hidden="1" x14ac:dyDescent="0.3">
      <c r="A50" s="49"/>
      <c r="B50" s="54">
        <v>46040</v>
      </c>
      <c r="C50" s="55" t="str">
        <f t="shared" si="0"/>
        <v>Sun</v>
      </c>
      <c r="D50" s="55"/>
      <c r="O50" s="49"/>
    </row>
    <row r="51" spans="1:15" hidden="1" x14ac:dyDescent="0.3">
      <c r="A51" s="49"/>
      <c r="B51" s="54">
        <v>46041</v>
      </c>
      <c r="C51" s="55" t="str">
        <f t="shared" si="0"/>
        <v>Mon</v>
      </c>
      <c r="D51" s="55"/>
      <c r="O51" s="49"/>
    </row>
    <row r="52" spans="1:15" hidden="1" x14ac:dyDescent="0.3">
      <c r="A52" s="49"/>
      <c r="B52" s="54">
        <v>46042</v>
      </c>
      <c r="C52" s="55" t="str">
        <f t="shared" si="0"/>
        <v>Tue</v>
      </c>
      <c r="D52" s="55"/>
      <c r="O52" s="49"/>
    </row>
    <row r="53" spans="1:15" hidden="1" x14ac:dyDescent="0.3">
      <c r="A53" s="49"/>
      <c r="B53" s="54">
        <v>46043</v>
      </c>
      <c r="C53" s="55" t="str">
        <f t="shared" si="0"/>
        <v>Wed</v>
      </c>
      <c r="D53" s="55"/>
      <c r="O53" s="49"/>
    </row>
    <row r="54" spans="1:15" hidden="1" x14ac:dyDescent="0.3">
      <c r="A54" s="49"/>
      <c r="B54" s="54">
        <v>46044</v>
      </c>
      <c r="C54" s="55" t="str">
        <f t="shared" si="0"/>
        <v>Thu</v>
      </c>
      <c r="D54" s="55"/>
      <c r="O54" s="49"/>
    </row>
    <row r="55" spans="1:15" hidden="1" x14ac:dyDescent="0.3">
      <c r="A55" s="49"/>
      <c r="B55" s="54">
        <v>46045</v>
      </c>
      <c r="C55" s="55" t="str">
        <f t="shared" si="0"/>
        <v>Fri</v>
      </c>
      <c r="D55" s="55"/>
      <c r="O55" s="49"/>
    </row>
    <row r="56" spans="1:15" hidden="1" x14ac:dyDescent="0.3">
      <c r="A56" s="49"/>
      <c r="B56" s="54">
        <v>46046</v>
      </c>
      <c r="C56" s="55" t="str">
        <f t="shared" si="0"/>
        <v>Sat</v>
      </c>
      <c r="D56" s="55"/>
      <c r="O56" s="49"/>
    </row>
    <row r="57" spans="1:15" hidden="1" x14ac:dyDescent="0.3">
      <c r="A57" s="49"/>
      <c r="B57" s="54">
        <v>46047</v>
      </c>
      <c r="C57" s="55" t="str">
        <f t="shared" si="0"/>
        <v>Sun</v>
      </c>
      <c r="D57" s="55"/>
      <c r="O57" s="49"/>
    </row>
    <row r="58" spans="1:15" hidden="1" x14ac:dyDescent="0.3">
      <c r="A58" s="49"/>
      <c r="B58" s="54">
        <v>46048</v>
      </c>
      <c r="C58" s="55" t="str">
        <f t="shared" si="0"/>
        <v>Mon</v>
      </c>
      <c r="D58" s="55"/>
      <c r="O58" s="49"/>
    </row>
    <row r="59" spans="1:15" hidden="1" x14ac:dyDescent="0.3">
      <c r="A59" s="49"/>
      <c r="B59" s="54">
        <v>46049</v>
      </c>
      <c r="C59" s="55" t="str">
        <f t="shared" si="0"/>
        <v>Tue</v>
      </c>
      <c r="D59" s="55"/>
      <c r="O59" s="49"/>
    </row>
    <row r="60" spans="1:15" hidden="1" x14ac:dyDescent="0.3">
      <c r="A60" s="49"/>
      <c r="B60" s="54">
        <v>46050</v>
      </c>
      <c r="C60" s="55" t="str">
        <f t="shared" si="0"/>
        <v>Wed</v>
      </c>
      <c r="D60" s="55"/>
      <c r="O60" s="49"/>
    </row>
    <row r="61" spans="1:15" hidden="1" x14ac:dyDescent="0.3">
      <c r="A61" s="49"/>
      <c r="B61" s="54">
        <v>46051</v>
      </c>
      <c r="C61" s="55" t="str">
        <f t="shared" si="0"/>
        <v>Thu</v>
      </c>
      <c r="D61" s="55"/>
      <c r="O61" s="49"/>
    </row>
    <row r="62" spans="1:15" hidden="1" x14ac:dyDescent="0.3">
      <c r="A62" s="49"/>
      <c r="B62" s="54">
        <v>46052</v>
      </c>
      <c r="C62" s="55" t="str">
        <f t="shared" si="0"/>
        <v>Fri</v>
      </c>
      <c r="D62" s="55"/>
      <c r="O62" s="49"/>
    </row>
    <row r="63" spans="1:15" hidden="1" x14ac:dyDescent="0.3">
      <c r="A63" s="49"/>
      <c r="B63" s="54">
        <v>46053</v>
      </c>
      <c r="C63" s="55" t="str">
        <f t="shared" si="0"/>
        <v>Sat</v>
      </c>
      <c r="D63" s="55"/>
      <c r="O63" s="49"/>
    </row>
    <row r="64" spans="1:15" hidden="1" x14ac:dyDescent="0.3">
      <c r="A64" s="49"/>
      <c r="B64" s="54">
        <v>46054</v>
      </c>
      <c r="C64" s="55" t="str">
        <f t="shared" si="0"/>
        <v>Sun</v>
      </c>
      <c r="D64" s="55"/>
      <c r="O64" s="49"/>
    </row>
    <row r="65" spans="1:15" hidden="1" x14ac:dyDescent="0.3">
      <c r="A65" s="49"/>
      <c r="B65" s="54">
        <v>46055</v>
      </c>
      <c r="C65" s="55" t="str">
        <f t="shared" si="0"/>
        <v>Mon</v>
      </c>
      <c r="D65" s="55"/>
      <c r="O65" s="49"/>
    </row>
    <row r="66" spans="1:15" hidden="1" x14ac:dyDescent="0.3">
      <c r="A66" s="49"/>
      <c r="B66" s="54">
        <v>46056</v>
      </c>
      <c r="C66" s="55" t="str">
        <f t="shared" si="0"/>
        <v>Tue</v>
      </c>
      <c r="D66" s="55"/>
      <c r="O66" s="49"/>
    </row>
    <row r="67" spans="1:15" hidden="1" x14ac:dyDescent="0.3">
      <c r="A67" s="49"/>
      <c r="B67" s="54">
        <v>46057</v>
      </c>
      <c r="C67" s="55" t="str">
        <f t="shared" si="0"/>
        <v>Wed</v>
      </c>
      <c r="D67" s="55"/>
      <c r="O67" s="49"/>
    </row>
    <row r="68" spans="1:15" hidden="1" x14ac:dyDescent="0.3">
      <c r="A68" s="49"/>
      <c r="B68" s="54">
        <v>46058</v>
      </c>
      <c r="C68" s="55" t="str">
        <f t="shared" si="0"/>
        <v>Thu</v>
      </c>
      <c r="D68" s="55"/>
      <c r="O68" s="49"/>
    </row>
    <row r="69" spans="1:15" hidden="1" x14ac:dyDescent="0.3">
      <c r="A69" s="49"/>
      <c r="B69" s="54">
        <v>46059</v>
      </c>
      <c r="C69" s="55" t="str">
        <f t="shared" si="0"/>
        <v>Fri</v>
      </c>
      <c r="D69" s="55"/>
      <c r="O69" s="49"/>
    </row>
    <row r="70" spans="1:15" hidden="1" x14ac:dyDescent="0.3">
      <c r="A70" s="49"/>
      <c r="B70" s="54">
        <v>46060</v>
      </c>
      <c r="C70" s="55" t="str">
        <f t="shared" si="0"/>
        <v>Sat</v>
      </c>
      <c r="D70" s="55"/>
      <c r="O70" s="49"/>
    </row>
    <row r="71" spans="1:15" hidden="1" x14ac:dyDescent="0.3">
      <c r="A71" s="49"/>
      <c r="B71" s="54">
        <v>46061</v>
      </c>
      <c r="C71" s="55" t="str">
        <f t="shared" si="0"/>
        <v>Sun</v>
      </c>
      <c r="D71" s="55"/>
      <c r="O71" s="49"/>
    </row>
    <row r="72" spans="1:15" hidden="1" x14ac:dyDescent="0.3">
      <c r="A72" s="49"/>
      <c r="B72" s="54">
        <v>46062</v>
      </c>
      <c r="C72" s="55" t="str">
        <f t="shared" si="0"/>
        <v>Mon</v>
      </c>
      <c r="D72" s="55"/>
      <c r="O72" s="49"/>
    </row>
    <row r="73" spans="1:15" hidden="1" x14ac:dyDescent="0.3">
      <c r="A73" s="49"/>
      <c r="B73" s="54">
        <v>46063</v>
      </c>
      <c r="C73" s="55" t="str">
        <f t="shared" si="0"/>
        <v>Tue</v>
      </c>
      <c r="D73" s="55"/>
      <c r="O73" s="49"/>
    </row>
    <row r="74" spans="1:15" hidden="1" x14ac:dyDescent="0.3">
      <c r="A74" s="49"/>
      <c r="B74" s="54">
        <v>46064</v>
      </c>
      <c r="C74" s="55" t="str">
        <f t="shared" si="0"/>
        <v>Wed</v>
      </c>
      <c r="D74" s="55"/>
      <c r="O74" s="49"/>
    </row>
    <row r="75" spans="1:15" hidden="1" x14ac:dyDescent="0.3">
      <c r="A75" s="49"/>
      <c r="B75" s="54">
        <v>46065</v>
      </c>
      <c r="C75" s="55" t="str">
        <f t="shared" si="0"/>
        <v>Thu</v>
      </c>
      <c r="D75" s="55"/>
      <c r="O75" s="49"/>
    </row>
    <row r="76" spans="1:15" hidden="1" x14ac:dyDescent="0.3">
      <c r="A76" s="49"/>
      <c r="B76" s="54">
        <v>46066</v>
      </c>
      <c r="C76" s="55" t="str">
        <f t="shared" si="0"/>
        <v>Fri</v>
      </c>
      <c r="D76" s="55"/>
      <c r="O76" s="49"/>
    </row>
    <row r="77" spans="1:15" hidden="1" x14ac:dyDescent="0.3">
      <c r="A77" s="49"/>
      <c r="B77" s="54">
        <v>46067</v>
      </c>
      <c r="C77" s="55" t="str">
        <f t="shared" si="0"/>
        <v>Sat</v>
      </c>
      <c r="D77" s="55"/>
      <c r="O77" s="49"/>
    </row>
    <row r="78" spans="1:15" hidden="1" x14ac:dyDescent="0.3">
      <c r="A78" s="49"/>
      <c r="B78" s="54">
        <v>46068</v>
      </c>
      <c r="C78" s="55" t="str">
        <f t="shared" si="0"/>
        <v>Sun</v>
      </c>
      <c r="D78" s="55"/>
      <c r="O78" s="49"/>
    </row>
    <row r="79" spans="1:15" hidden="1" x14ac:dyDescent="0.3">
      <c r="A79" s="49"/>
      <c r="B79" s="54">
        <v>46069</v>
      </c>
      <c r="C79" s="55" t="str">
        <f t="shared" si="0"/>
        <v>Mon</v>
      </c>
      <c r="D79" s="55"/>
      <c r="O79" s="49"/>
    </row>
    <row r="80" spans="1:15" hidden="1" x14ac:dyDescent="0.3">
      <c r="A80" s="49"/>
      <c r="B80" s="54">
        <v>46070</v>
      </c>
      <c r="C80" s="55" t="str">
        <f t="shared" si="0"/>
        <v>Tue</v>
      </c>
      <c r="D80" s="55"/>
      <c r="O80" s="49"/>
    </row>
    <row r="81" spans="1:15" hidden="1" x14ac:dyDescent="0.3">
      <c r="A81" s="49"/>
      <c r="B81" s="54">
        <v>46071</v>
      </c>
      <c r="C81" s="55" t="str">
        <f t="shared" si="0"/>
        <v>Wed</v>
      </c>
      <c r="D81" s="55"/>
      <c r="O81" s="49"/>
    </row>
    <row r="82" spans="1:15" hidden="1" x14ac:dyDescent="0.3">
      <c r="A82" s="49"/>
      <c r="B82" s="54">
        <v>46072</v>
      </c>
      <c r="C82" s="55" t="str">
        <f t="shared" si="0"/>
        <v>Thu</v>
      </c>
      <c r="D82" s="55"/>
      <c r="O82" s="49"/>
    </row>
    <row r="83" spans="1:15" hidden="1" x14ac:dyDescent="0.3">
      <c r="A83" s="49"/>
      <c r="B83" s="54">
        <v>46073</v>
      </c>
      <c r="C83" s="55" t="str">
        <f t="shared" si="0"/>
        <v>Fri</v>
      </c>
      <c r="D83" s="55"/>
      <c r="O83" s="49"/>
    </row>
    <row r="84" spans="1:15" hidden="1" x14ac:dyDescent="0.3">
      <c r="A84" s="49"/>
      <c r="B84" s="54">
        <v>46074</v>
      </c>
      <c r="C84" s="55" t="str">
        <f t="shared" si="0"/>
        <v>Sat</v>
      </c>
      <c r="D84" s="55"/>
      <c r="O84" s="49"/>
    </row>
    <row r="85" spans="1:15" hidden="1" x14ac:dyDescent="0.3">
      <c r="A85" s="49"/>
      <c r="B85" s="54">
        <v>46075</v>
      </c>
      <c r="C85" s="55" t="str">
        <f t="shared" si="0"/>
        <v>Sun</v>
      </c>
      <c r="D85" s="55"/>
      <c r="O85" s="49"/>
    </row>
    <row r="86" spans="1:15" hidden="1" x14ac:dyDescent="0.3">
      <c r="A86" s="49"/>
      <c r="B86" s="54">
        <v>46076</v>
      </c>
      <c r="C86" s="55" t="str">
        <f t="shared" si="0"/>
        <v>Mon</v>
      </c>
      <c r="D86" s="55"/>
      <c r="O86" s="49"/>
    </row>
    <row r="87" spans="1:15" hidden="1" x14ac:dyDescent="0.3">
      <c r="A87" s="49"/>
      <c r="B87" s="54">
        <v>46077</v>
      </c>
      <c r="C87" s="55" t="str">
        <f t="shared" si="0"/>
        <v>Tue</v>
      </c>
      <c r="D87" s="55"/>
      <c r="O87" s="49"/>
    </row>
    <row r="88" spans="1:15" hidden="1" x14ac:dyDescent="0.3">
      <c r="A88" s="49"/>
      <c r="B88" s="54">
        <v>46078</v>
      </c>
      <c r="C88" s="55" t="str">
        <f t="shared" si="0"/>
        <v>Wed</v>
      </c>
      <c r="D88" s="55"/>
      <c r="O88" s="49"/>
    </row>
    <row r="89" spans="1:15" hidden="1" x14ac:dyDescent="0.3">
      <c r="A89" s="49"/>
      <c r="B89" s="54">
        <v>46079</v>
      </c>
      <c r="C89" s="55" t="str">
        <f t="shared" si="0"/>
        <v>Thu</v>
      </c>
      <c r="D89" s="55"/>
      <c r="O89" s="49"/>
    </row>
    <row r="90" spans="1:15" hidden="1" x14ac:dyDescent="0.3">
      <c r="A90" s="49"/>
      <c r="B90" s="54">
        <v>46080</v>
      </c>
      <c r="C90" s="55" t="str">
        <f t="shared" si="0"/>
        <v>Fri</v>
      </c>
      <c r="D90" s="55"/>
      <c r="O90" s="49"/>
    </row>
    <row r="91" spans="1:15" hidden="1" x14ac:dyDescent="0.3">
      <c r="A91" s="49"/>
      <c r="B91" s="54">
        <v>46081</v>
      </c>
      <c r="C91" s="55" t="str">
        <f t="shared" si="0"/>
        <v>Sat</v>
      </c>
      <c r="D91" s="55"/>
      <c r="O91" s="49"/>
    </row>
    <row r="92" spans="1:15" hidden="1" x14ac:dyDescent="0.3">
      <c r="A92" s="49"/>
      <c r="B92" s="54">
        <v>46082</v>
      </c>
      <c r="C92" s="55" t="str">
        <f t="shared" si="0"/>
        <v>Sun</v>
      </c>
      <c r="D92" s="55"/>
      <c r="O92" s="49"/>
    </row>
    <row r="93" spans="1:15" hidden="1" x14ac:dyDescent="0.3">
      <c r="A93" s="49"/>
      <c r="B93" s="54">
        <v>46083</v>
      </c>
      <c r="C93" s="55" t="str">
        <f t="shared" si="0"/>
        <v>Mon</v>
      </c>
      <c r="D93" s="55"/>
      <c r="O93" s="49"/>
    </row>
    <row r="94" spans="1:15" hidden="1" x14ac:dyDescent="0.3">
      <c r="A94" s="49"/>
      <c r="B94" s="54">
        <v>46084</v>
      </c>
      <c r="C94" s="55" t="str">
        <f t="shared" si="0"/>
        <v>Tue</v>
      </c>
      <c r="D94" s="55"/>
      <c r="O94" s="49"/>
    </row>
    <row r="95" spans="1:15" hidden="1" x14ac:dyDescent="0.3">
      <c r="A95" s="49"/>
      <c r="B95" s="54">
        <v>46085</v>
      </c>
      <c r="C95" s="55" t="str">
        <f t="shared" si="0"/>
        <v>Wed</v>
      </c>
      <c r="D95" s="55"/>
      <c r="O95" s="49"/>
    </row>
    <row r="96" spans="1:15" hidden="1" x14ac:dyDescent="0.3">
      <c r="A96" s="49"/>
      <c r="B96" s="54">
        <v>46086</v>
      </c>
      <c r="C96" s="55" t="str">
        <f t="shared" si="0"/>
        <v>Thu</v>
      </c>
      <c r="D96" s="55"/>
      <c r="O96" s="49"/>
    </row>
    <row r="97" spans="1:15" hidden="1" x14ac:dyDescent="0.3">
      <c r="A97" s="49"/>
      <c r="B97" s="54">
        <v>46087</v>
      </c>
      <c r="C97" s="55" t="str">
        <f t="shared" si="0"/>
        <v>Fri</v>
      </c>
      <c r="D97" s="55"/>
      <c r="O97" s="49"/>
    </row>
    <row r="98" spans="1:15" hidden="1" x14ac:dyDescent="0.3">
      <c r="A98" s="49"/>
      <c r="B98" s="54">
        <v>46088</v>
      </c>
      <c r="C98" s="55" t="str">
        <f t="shared" ref="C98:C161" si="1">TEXT(B98,"ddd")</f>
        <v>Sat</v>
      </c>
      <c r="D98" s="55"/>
      <c r="O98" s="49"/>
    </row>
    <row r="99" spans="1:15" hidden="1" x14ac:dyDescent="0.3">
      <c r="A99" s="49"/>
      <c r="B99" s="54">
        <v>46089</v>
      </c>
      <c r="C99" s="55" t="str">
        <f t="shared" si="1"/>
        <v>Sun</v>
      </c>
      <c r="D99" s="55"/>
      <c r="O99" s="49"/>
    </row>
    <row r="100" spans="1:15" hidden="1" x14ac:dyDescent="0.3">
      <c r="A100" s="49"/>
      <c r="B100" s="54">
        <v>46090</v>
      </c>
      <c r="C100" s="55" t="str">
        <f t="shared" si="1"/>
        <v>Mon</v>
      </c>
      <c r="D100" s="55"/>
      <c r="O100" s="49"/>
    </row>
    <row r="101" spans="1:15" hidden="1" x14ac:dyDescent="0.3">
      <c r="A101" s="49"/>
      <c r="B101" s="54">
        <v>46091</v>
      </c>
      <c r="C101" s="55" t="str">
        <f t="shared" si="1"/>
        <v>Tue</v>
      </c>
      <c r="D101" s="55"/>
      <c r="O101" s="49"/>
    </row>
    <row r="102" spans="1:15" hidden="1" x14ac:dyDescent="0.3">
      <c r="A102" s="49"/>
      <c r="B102" s="54">
        <v>46092</v>
      </c>
      <c r="C102" s="55" t="str">
        <f t="shared" si="1"/>
        <v>Wed</v>
      </c>
      <c r="D102" s="55"/>
      <c r="O102" s="49"/>
    </row>
    <row r="103" spans="1:15" hidden="1" x14ac:dyDescent="0.3">
      <c r="A103" s="49"/>
      <c r="B103" s="54">
        <v>46093</v>
      </c>
      <c r="C103" s="55" t="str">
        <f t="shared" si="1"/>
        <v>Thu</v>
      </c>
      <c r="D103" s="55"/>
      <c r="O103" s="49"/>
    </row>
    <row r="104" spans="1:15" hidden="1" x14ac:dyDescent="0.3">
      <c r="A104" s="49"/>
      <c r="B104" s="54">
        <v>46094</v>
      </c>
      <c r="C104" s="55" t="str">
        <f t="shared" si="1"/>
        <v>Fri</v>
      </c>
      <c r="D104" s="55"/>
      <c r="O104" s="49"/>
    </row>
    <row r="105" spans="1:15" hidden="1" x14ac:dyDescent="0.3">
      <c r="A105" s="49"/>
      <c r="B105" s="54">
        <v>46095</v>
      </c>
      <c r="C105" s="55" t="str">
        <f t="shared" si="1"/>
        <v>Sat</v>
      </c>
      <c r="D105" s="55"/>
      <c r="O105" s="49"/>
    </row>
    <row r="106" spans="1:15" hidden="1" x14ac:dyDescent="0.3">
      <c r="A106" s="49"/>
      <c r="B106" s="54">
        <v>46096</v>
      </c>
      <c r="C106" s="55" t="str">
        <f t="shared" si="1"/>
        <v>Sun</v>
      </c>
      <c r="D106" s="55"/>
      <c r="O106" s="49"/>
    </row>
    <row r="107" spans="1:15" hidden="1" x14ac:dyDescent="0.3">
      <c r="A107" s="49"/>
      <c r="B107" s="54">
        <v>46097</v>
      </c>
      <c r="C107" s="55" t="str">
        <f t="shared" si="1"/>
        <v>Mon</v>
      </c>
      <c r="D107" s="55"/>
      <c r="O107" s="49"/>
    </row>
    <row r="108" spans="1:15" hidden="1" x14ac:dyDescent="0.3">
      <c r="A108" s="49"/>
      <c r="B108" s="54">
        <v>46098</v>
      </c>
      <c r="C108" s="55" t="str">
        <f t="shared" si="1"/>
        <v>Tue</v>
      </c>
      <c r="D108" s="55"/>
      <c r="O108" s="49"/>
    </row>
    <row r="109" spans="1:15" hidden="1" x14ac:dyDescent="0.3">
      <c r="A109" s="49"/>
      <c r="B109" s="54">
        <v>46099</v>
      </c>
      <c r="C109" s="55" t="str">
        <f t="shared" si="1"/>
        <v>Wed</v>
      </c>
      <c r="D109" s="55"/>
      <c r="O109" s="49"/>
    </row>
    <row r="110" spans="1:15" hidden="1" x14ac:dyDescent="0.3">
      <c r="A110" s="49"/>
      <c r="B110" s="54">
        <v>46100</v>
      </c>
      <c r="C110" s="55" t="str">
        <f t="shared" si="1"/>
        <v>Thu</v>
      </c>
      <c r="D110" s="55"/>
      <c r="O110" s="49"/>
    </row>
    <row r="111" spans="1:15" hidden="1" x14ac:dyDescent="0.3">
      <c r="A111" s="49"/>
      <c r="B111" s="54">
        <v>46101</v>
      </c>
      <c r="C111" s="55" t="str">
        <f t="shared" si="1"/>
        <v>Fri</v>
      </c>
      <c r="D111" s="55"/>
      <c r="O111" s="49"/>
    </row>
    <row r="112" spans="1:15" hidden="1" x14ac:dyDescent="0.3">
      <c r="A112" s="49"/>
      <c r="B112" s="54">
        <v>46102</v>
      </c>
      <c r="C112" s="55" t="str">
        <f t="shared" si="1"/>
        <v>Sat</v>
      </c>
      <c r="D112" s="55"/>
      <c r="O112" s="49"/>
    </row>
    <row r="113" spans="1:15" hidden="1" x14ac:dyDescent="0.3">
      <c r="A113" s="49"/>
      <c r="B113" s="54">
        <v>46103</v>
      </c>
      <c r="C113" s="55" t="str">
        <f t="shared" si="1"/>
        <v>Sun</v>
      </c>
      <c r="D113" s="55"/>
      <c r="O113" s="49"/>
    </row>
    <row r="114" spans="1:15" hidden="1" x14ac:dyDescent="0.3">
      <c r="A114" s="49"/>
      <c r="B114" s="54">
        <v>46104</v>
      </c>
      <c r="C114" s="55" t="str">
        <f t="shared" si="1"/>
        <v>Mon</v>
      </c>
      <c r="D114" s="55"/>
      <c r="O114" s="49"/>
    </row>
    <row r="115" spans="1:15" hidden="1" x14ac:dyDescent="0.3">
      <c r="A115" s="49"/>
      <c r="B115" s="54">
        <v>46105</v>
      </c>
      <c r="C115" s="55" t="str">
        <f t="shared" si="1"/>
        <v>Tue</v>
      </c>
      <c r="D115" s="55"/>
      <c r="O115" s="49"/>
    </row>
    <row r="116" spans="1:15" hidden="1" x14ac:dyDescent="0.3">
      <c r="A116" s="49"/>
      <c r="B116" s="54">
        <v>46106</v>
      </c>
      <c r="C116" s="55" t="str">
        <f t="shared" si="1"/>
        <v>Wed</v>
      </c>
      <c r="D116" s="55"/>
      <c r="O116" s="49"/>
    </row>
    <row r="117" spans="1:15" hidden="1" x14ac:dyDescent="0.3">
      <c r="A117" s="49"/>
      <c r="B117" s="54">
        <v>46107</v>
      </c>
      <c r="C117" s="55" t="str">
        <f t="shared" si="1"/>
        <v>Thu</v>
      </c>
      <c r="D117" s="55"/>
      <c r="O117" s="49"/>
    </row>
    <row r="118" spans="1:15" hidden="1" x14ac:dyDescent="0.3">
      <c r="A118" s="49"/>
      <c r="B118" s="54">
        <v>46108</v>
      </c>
      <c r="C118" s="55" t="str">
        <f t="shared" si="1"/>
        <v>Fri</v>
      </c>
      <c r="D118" s="55"/>
      <c r="O118" s="49"/>
    </row>
    <row r="119" spans="1:15" hidden="1" x14ac:dyDescent="0.3">
      <c r="A119" s="49"/>
      <c r="B119" s="54">
        <v>46109</v>
      </c>
      <c r="C119" s="55" t="str">
        <f t="shared" si="1"/>
        <v>Sat</v>
      </c>
      <c r="D119" s="55"/>
      <c r="O119" s="49"/>
    </row>
    <row r="120" spans="1:15" hidden="1" x14ac:dyDescent="0.3">
      <c r="A120" s="49"/>
      <c r="B120" s="54">
        <v>46110</v>
      </c>
      <c r="C120" s="55" t="str">
        <f t="shared" si="1"/>
        <v>Sun</v>
      </c>
      <c r="D120" s="55"/>
      <c r="O120" s="49"/>
    </row>
    <row r="121" spans="1:15" hidden="1" x14ac:dyDescent="0.3">
      <c r="A121" s="49"/>
      <c r="B121" s="54">
        <v>46111</v>
      </c>
      <c r="C121" s="55" t="str">
        <f t="shared" si="1"/>
        <v>Mon</v>
      </c>
      <c r="D121" s="55"/>
      <c r="O121" s="49"/>
    </row>
    <row r="122" spans="1:15" hidden="1" x14ac:dyDescent="0.3">
      <c r="A122" s="49"/>
      <c r="B122" s="54">
        <v>46112</v>
      </c>
      <c r="C122" s="55" t="str">
        <f t="shared" si="1"/>
        <v>Tue</v>
      </c>
      <c r="D122" s="55"/>
      <c r="O122" s="49"/>
    </row>
    <row r="123" spans="1:15" hidden="1" x14ac:dyDescent="0.3">
      <c r="A123" s="49"/>
      <c r="B123" s="54">
        <v>46113</v>
      </c>
      <c r="C123" s="55" t="str">
        <f t="shared" si="1"/>
        <v>Wed</v>
      </c>
      <c r="D123" s="55"/>
      <c r="O123" s="49"/>
    </row>
    <row r="124" spans="1:15" hidden="1" x14ac:dyDescent="0.3">
      <c r="A124" s="49"/>
      <c r="B124" s="54">
        <v>46114</v>
      </c>
      <c r="C124" s="55" t="str">
        <f t="shared" si="1"/>
        <v>Thu</v>
      </c>
      <c r="D124" s="55"/>
      <c r="O124" s="49"/>
    </row>
    <row r="125" spans="1:15" hidden="1" x14ac:dyDescent="0.3">
      <c r="A125" s="49"/>
      <c r="B125" s="54">
        <v>46115</v>
      </c>
      <c r="C125" s="55" t="str">
        <f t="shared" si="1"/>
        <v>Fri</v>
      </c>
      <c r="D125" s="55"/>
      <c r="O125" s="49"/>
    </row>
    <row r="126" spans="1:15" hidden="1" x14ac:dyDescent="0.3">
      <c r="A126" s="49"/>
      <c r="B126" s="54">
        <v>46116</v>
      </c>
      <c r="C126" s="55" t="str">
        <f t="shared" si="1"/>
        <v>Sat</v>
      </c>
      <c r="D126" s="55"/>
      <c r="O126" s="49"/>
    </row>
    <row r="127" spans="1:15" hidden="1" x14ac:dyDescent="0.3">
      <c r="A127" s="49"/>
      <c r="B127" s="54">
        <v>46117</v>
      </c>
      <c r="C127" s="55" t="str">
        <f t="shared" si="1"/>
        <v>Sun</v>
      </c>
      <c r="D127" s="55"/>
      <c r="O127" s="49"/>
    </row>
    <row r="128" spans="1:15" hidden="1" x14ac:dyDescent="0.3">
      <c r="A128" s="49"/>
      <c r="B128" s="54">
        <v>46118</v>
      </c>
      <c r="C128" s="55" t="str">
        <f t="shared" si="1"/>
        <v>Mon</v>
      </c>
      <c r="D128" s="55"/>
      <c r="O128" s="49"/>
    </row>
    <row r="129" spans="1:15" hidden="1" x14ac:dyDescent="0.3">
      <c r="A129" s="49"/>
      <c r="B129" s="54">
        <v>46119</v>
      </c>
      <c r="C129" s="55" t="str">
        <f t="shared" si="1"/>
        <v>Tue</v>
      </c>
      <c r="D129" s="55"/>
      <c r="O129" s="49"/>
    </row>
    <row r="130" spans="1:15" hidden="1" x14ac:dyDescent="0.3">
      <c r="A130" s="49"/>
      <c r="B130" s="54">
        <v>46120</v>
      </c>
      <c r="C130" s="55" t="str">
        <f t="shared" si="1"/>
        <v>Wed</v>
      </c>
      <c r="D130" s="55"/>
      <c r="O130" s="49"/>
    </row>
    <row r="131" spans="1:15" hidden="1" x14ac:dyDescent="0.3">
      <c r="A131" s="49"/>
      <c r="B131" s="54">
        <v>46121</v>
      </c>
      <c r="C131" s="55" t="str">
        <f t="shared" si="1"/>
        <v>Thu</v>
      </c>
      <c r="D131" s="55"/>
      <c r="O131" s="49"/>
    </row>
    <row r="132" spans="1:15" hidden="1" x14ac:dyDescent="0.3">
      <c r="A132" s="49"/>
      <c r="B132" s="54">
        <v>46122</v>
      </c>
      <c r="C132" s="55" t="str">
        <f t="shared" si="1"/>
        <v>Fri</v>
      </c>
      <c r="D132" s="55"/>
      <c r="O132" s="49"/>
    </row>
    <row r="133" spans="1:15" hidden="1" x14ac:dyDescent="0.3">
      <c r="A133" s="49"/>
      <c r="B133" s="54">
        <v>46123</v>
      </c>
      <c r="C133" s="55" t="str">
        <f t="shared" si="1"/>
        <v>Sat</v>
      </c>
      <c r="D133" s="55"/>
      <c r="O133" s="49"/>
    </row>
    <row r="134" spans="1:15" hidden="1" x14ac:dyDescent="0.3">
      <c r="A134" s="49"/>
      <c r="B134" s="54">
        <v>46124</v>
      </c>
      <c r="C134" s="55" t="str">
        <f t="shared" si="1"/>
        <v>Sun</v>
      </c>
      <c r="D134" s="55"/>
      <c r="O134" s="49"/>
    </row>
    <row r="135" spans="1:15" hidden="1" x14ac:dyDescent="0.3">
      <c r="A135" s="49"/>
      <c r="B135" s="54">
        <v>46125</v>
      </c>
      <c r="C135" s="55" t="str">
        <f t="shared" si="1"/>
        <v>Mon</v>
      </c>
      <c r="D135" s="55"/>
      <c r="O135" s="49"/>
    </row>
    <row r="136" spans="1:15" hidden="1" x14ac:dyDescent="0.3">
      <c r="A136" s="49"/>
      <c r="B136" s="54">
        <v>46126</v>
      </c>
      <c r="C136" s="55" t="str">
        <f t="shared" si="1"/>
        <v>Tue</v>
      </c>
      <c r="D136" s="55"/>
      <c r="O136" s="49"/>
    </row>
    <row r="137" spans="1:15" hidden="1" x14ac:dyDescent="0.3">
      <c r="A137" s="49"/>
      <c r="B137" s="54">
        <v>46127</v>
      </c>
      <c r="C137" s="55" t="str">
        <f t="shared" si="1"/>
        <v>Wed</v>
      </c>
      <c r="D137" s="55"/>
      <c r="O137" s="49"/>
    </row>
    <row r="138" spans="1:15" hidden="1" x14ac:dyDescent="0.3">
      <c r="A138" s="49"/>
      <c r="B138" s="54">
        <v>46128</v>
      </c>
      <c r="C138" s="55" t="str">
        <f t="shared" si="1"/>
        <v>Thu</v>
      </c>
      <c r="D138" s="55"/>
      <c r="O138" s="49"/>
    </row>
    <row r="139" spans="1:15" hidden="1" x14ac:dyDescent="0.3">
      <c r="A139" s="49"/>
      <c r="B139" s="54">
        <v>46129</v>
      </c>
      <c r="C139" s="55" t="str">
        <f t="shared" si="1"/>
        <v>Fri</v>
      </c>
      <c r="D139" s="55"/>
      <c r="O139" s="49"/>
    </row>
    <row r="140" spans="1:15" hidden="1" x14ac:dyDescent="0.3">
      <c r="A140" s="49"/>
      <c r="B140" s="54">
        <v>46130</v>
      </c>
      <c r="C140" s="55" t="str">
        <f t="shared" si="1"/>
        <v>Sat</v>
      </c>
      <c r="D140" s="55"/>
      <c r="O140" s="49"/>
    </row>
    <row r="141" spans="1:15" hidden="1" x14ac:dyDescent="0.3">
      <c r="A141" s="49"/>
      <c r="B141" s="54">
        <v>46131</v>
      </c>
      <c r="C141" s="55" t="str">
        <f t="shared" si="1"/>
        <v>Sun</v>
      </c>
      <c r="D141" s="55"/>
      <c r="O141" s="49"/>
    </row>
    <row r="142" spans="1:15" hidden="1" x14ac:dyDescent="0.3">
      <c r="A142" s="49"/>
      <c r="B142" s="54">
        <v>46132</v>
      </c>
      <c r="C142" s="55" t="str">
        <f t="shared" si="1"/>
        <v>Mon</v>
      </c>
      <c r="D142" s="55"/>
      <c r="O142" s="49"/>
    </row>
    <row r="143" spans="1:15" hidden="1" x14ac:dyDescent="0.3">
      <c r="A143" s="49"/>
      <c r="B143" s="54">
        <v>46133</v>
      </c>
      <c r="C143" s="55" t="str">
        <f t="shared" si="1"/>
        <v>Tue</v>
      </c>
      <c r="D143" s="55"/>
      <c r="O143" s="49"/>
    </row>
    <row r="144" spans="1:15" hidden="1" x14ac:dyDescent="0.3">
      <c r="A144" s="49"/>
      <c r="B144" s="54">
        <v>46134</v>
      </c>
      <c r="C144" s="55" t="str">
        <f t="shared" si="1"/>
        <v>Wed</v>
      </c>
      <c r="D144" s="55"/>
      <c r="O144" s="49"/>
    </row>
    <row r="145" spans="1:15" hidden="1" x14ac:dyDescent="0.3">
      <c r="A145" s="49"/>
      <c r="B145" s="54">
        <v>46135</v>
      </c>
      <c r="C145" s="55" t="str">
        <f t="shared" si="1"/>
        <v>Thu</v>
      </c>
      <c r="D145" s="55"/>
      <c r="O145" s="49"/>
    </row>
    <row r="146" spans="1:15" hidden="1" x14ac:dyDescent="0.3">
      <c r="A146" s="49"/>
      <c r="B146" s="54">
        <v>46136</v>
      </c>
      <c r="C146" s="55" t="str">
        <f t="shared" si="1"/>
        <v>Fri</v>
      </c>
      <c r="D146" s="55"/>
      <c r="O146" s="49"/>
    </row>
    <row r="147" spans="1:15" hidden="1" x14ac:dyDescent="0.3">
      <c r="A147" s="49"/>
      <c r="B147" s="54">
        <v>46137</v>
      </c>
      <c r="C147" s="55" t="str">
        <f t="shared" si="1"/>
        <v>Sat</v>
      </c>
      <c r="D147" s="55"/>
      <c r="O147" s="49"/>
    </row>
    <row r="148" spans="1:15" hidden="1" x14ac:dyDescent="0.3">
      <c r="A148" s="49"/>
      <c r="B148" s="54">
        <v>46138</v>
      </c>
      <c r="C148" s="55" t="str">
        <f t="shared" si="1"/>
        <v>Sun</v>
      </c>
      <c r="D148" s="55"/>
      <c r="O148" s="49"/>
    </row>
    <row r="149" spans="1:15" hidden="1" x14ac:dyDescent="0.3">
      <c r="A149" s="49"/>
      <c r="B149" s="54">
        <v>46139</v>
      </c>
      <c r="C149" s="55" t="str">
        <f t="shared" si="1"/>
        <v>Mon</v>
      </c>
      <c r="D149" s="55"/>
      <c r="O149" s="49"/>
    </row>
    <row r="150" spans="1:15" hidden="1" x14ac:dyDescent="0.3">
      <c r="A150" s="49"/>
      <c r="B150" s="54">
        <v>46140</v>
      </c>
      <c r="C150" s="55" t="str">
        <f t="shared" si="1"/>
        <v>Tue</v>
      </c>
      <c r="D150" s="55"/>
      <c r="O150" s="49"/>
    </row>
    <row r="151" spans="1:15" hidden="1" x14ac:dyDescent="0.3">
      <c r="A151" s="49"/>
      <c r="B151" s="54">
        <v>46141</v>
      </c>
      <c r="C151" s="55" t="str">
        <f t="shared" si="1"/>
        <v>Wed</v>
      </c>
      <c r="D151" s="55"/>
      <c r="O151" s="49"/>
    </row>
    <row r="152" spans="1:15" hidden="1" x14ac:dyDescent="0.3">
      <c r="A152" s="49"/>
      <c r="B152" s="54">
        <v>46142</v>
      </c>
      <c r="C152" s="55" t="str">
        <f t="shared" si="1"/>
        <v>Thu</v>
      </c>
      <c r="D152" s="55"/>
      <c r="O152" s="49"/>
    </row>
    <row r="153" spans="1:15" hidden="1" x14ac:dyDescent="0.3">
      <c r="A153" s="49"/>
      <c r="B153" s="54">
        <v>46143</v>
      </c>
      <c r="C153" s="55" t="str">
        <f t="shared" si="1"/>
        <v>Fri</v>
      </c>
      <c r="D153" s="55"/>
      <c r="O153" s="49"/>
    </row>
    <row r="154" spans="1:15" hidden="1" x14ac:dyDescent="0.3">
      <c r="A154" s="49"/>
      <c r="B154" s="54">
        <v>46144</v>
      </c>
      <c r="C154" s="55" t="str">
        <f t="shared" si="1"/>
        <v>Sat</v>
      </c>
      <c r="D154" s="55"/>
      <c r="O154" s="49"/>
    </row>
    <row r="155" spans="1:15" hidden="1" x14ac:dyDescent="0.3">
      <c r="A155" s="49"/>
      <c r="B155" s="54">
        <v>46145</v>
      </c>
      <c r="C155" s="55" t="str">
        <f t="shared" si="1"/>
        <v>Sun</v>
      </c>
      <c r="D155" s="55"/>
      <c r="O155" s="49"/>
    </row>
    <row r="156" spans="1:15" hidden="1" x14ac:dyDescent="0.3">
      <c r="A156" s="49"/>
      <c r="B156" s="54">
        <v>46146</v>
      </c>
      <c r="C156" s="55" t="str">
        <f t="shared" si="1"/>
        <v>Mon</v>
      </c>
      <c r="D156" s="55"/>
      <c r="O156" s="49"/>
    </row>
    <row r="157" spans="1:15" hidden="1" x14ac:dyDescent="0.3">
      <c r="A157" s="49"/>
      <c r="B157" s="54">
        <v>46147</v>
      </c>
      <c r="C157" s="55" t="str">
        <f t="shared" si="1"/>
        <v>Tue</v>
      </c>
      <c r="D157" s="55"/>
      <c r="O157" s="49"/>
    </row>
    <row r="158" spans="1:15" hidden="1" x14ac:dyDescent="0.3">
      <c r="A158" s="49"/>
      <c r="B158" s="54">
        <v>46148</v>
      </c>
      <c r="C158" s="55" t="str">
        <f t="shared" si="1"/>
        <v>Wed</v>
      </c>
      <c r="D158" s="55"/>
      <c r="O158" s="49"/>
    </row>
    <row r="159" spans="1:15" hidden="1" x14ac:dyDescent="0.3">
      <c r="A159" s="49"/>
      <c r="B159" s="54">
        <v>46149</v>
      </c>
      <c r="C159" s="55" t="str">
        <f t="shared" si="1"/>
        <v>Thu</v>
      </c>
      <c r="D159" s="55"/>
      <c r="O159" s="49"/>
    </row>
    <row r="160" spans="1:15" hidden="1" x14ac:dyDescent="0.3">
      <c r="A160" s="49"/>
      <c r="B160" s="54">
        <v>46150</v>
      </c>
      <c r="C160" s="55" t="str">
        <f t="shared" si="1"/>
        <v>Fri</v>
      </c>
      <c r="D160" s="55"/>
      <c r="O160" s="49"/>
    </row>
    <row r="161" spans="1:15" hidden="1" x14ac:dyDescent="0.3">
      <c r="A161" s="49"/>
      <c r="B161" s="54">
        <v>46151</v>
      </c>
      <c r="C161" s="55" t="str">
        <f t="shared" si="1"/>
        <v>Sat</v>
      </c>
      <c r="D161" s="55"/>
      <c r="O161" s="49"/>
    </row>
    <row r="162" spans="1:15" hidden="1" x14ac:dyDescent="0.3">
      <c r="A162" s="49"/>
      <c r="B162" s="54">
        <v>46152</v>
      </c>
      <c r="C162" s="55" t="str">
        <f t="shared" ref="C162:C225" si="2">TEXT(B162,"ddd")</f>
        <v>Sun</v>
      </c>
      <c r="D162" s="55"/>
      <c r="O162" s="49"/>
    </row>
    <row r="163" spans="1:15" hidden="1" x14ac:dyDescent="0.3">
      <c r="A163" s="49"/>
      <c r="B163" s="54">
        <v>46153</v>
      </c>
      <c r="C163" s="55" t="str">
        <f t="shared" si="2"/>
        <v>Mon</v>
      </c>
      <c r="D163" s="55"/>
      <c r="O163" s="49"/>
    </row>
    <row r="164" spans="1:15" hidden="1" x14ac:dyDescent="0.3">
      <c r="A164" s="49"/>
      <c r="B164" s="54">
        <v>46154</v>
      </c>
      <c r="C164" s="55" t="str">
        <f t="shared" si="2"/>
        <v>Tue</v>
      </c>
      <c r="D164" s="55"/>
      <c r="O164" s="49"/>
    </row>
    <row r="165" spans="1:15" hidden="1" x14ac:dyDescent="0.3">
      <c r="A165" s="49"/>
      <c r="B165" s="54">
        <v>46155</v>
      </c>
      <c r="C165" s="55" t="str">
        <f t="shared" si="2"/>
        <v>Wed</v>
      </c>
      <c r="D165" s="55"/>
      <c r="O165" s="49"/>
    </row>
    <row r="166" spans="1:15" hidden="1" x14ac:dyDescent="0.3">
      <c r="A166" s="49"/>
      <c r="B166" s="54">
        <v>46156</v>
      </c>
      <c r="C166" s="55" t="str">
        <f t="shared" si="2"/>
        <v>Thu</v>
      </c>
      <c r="D166" s="55"/>
      <c r="O166" s="49"/>
    </row>
    <row r="167" spans="1:15" hidden="1" x14ac:dyDescent="0.3">
      <c r="A167" s="49"/>
      <c r="B167" s="54">
        <v>46157</v>
      </c>
      <c r="C167" s="55" t="str">
        <f t="shared" si="2"/>
        <v>Fri</v>
      </c>
      <c r="D167" s="55"/>
      <c r="O167" s="49"/>
    </row>
    <row r="168" spans="1:15" hidden="1" x14ac:dyDescent="0.3">
      <c r="A168" s="49"/>
      <c r="B168" s="54">
        <v>46158</v>
      </c>
      <c r="C168" s="55" t="str">
        <f t="shared" si="2"/>
        <v>Sat</v>
      </c>
      <c r="D168" s="55"/>
      <c r="O168" s="49"/>
    </row>
    <row r="169" spans="1:15" hidden="1" x14ac:dyDescent="0.3">
      <c r="A169" s="49"/>
      <c r="B169" s="54">
        <v>46159</v>
      </c>
      <c r="C169" s="55" t="str">
        <f t="shared" si="2"/>
        <v>Sun</v>
      </c>
      <c r="D169" s="55"/>
      <c r="O169" s="49"/>
    </row>
    <row r="170" spans="1:15" hidden="1" x14ac:dyDescent="0.3">
      <c r="A170" s="49"/>
      <c r="B170" s="54">
        <v>46160</v>
      </c>
      <c r="C170" s="55" t="str">
        <f t="shared" si="2"/>
        <v>Mon</v>
      </c>
      <c r="D170" s="55"/>
      <c r="O170" s="49"/>
    </row>
    <row r="171" spans="1:15" hidden="1" x14ac:dyDescent="0.3">
      <c r="A171" s="49"/>
      <c r="B171" s="54">
        <v>46161</v>
      </c>
      <c r="C171" s="55" t="str">
        <f t="shared" si="2"/>
        <v>Tue</v>
      </c>
      <c r="D171" s="55" t="s">
        <v>143</v>
      </c>
      <c r="O171" s="49"/>
    </row>
    <row r="172" spans="1:15" hidden="1" x14ac:dyDescent="0.3">
      <c r="A172" s="49"/>
      <c r="B172" s="54">
        <v>46162</v>
      </c>
      <c r="C172" s="55" t="str">
        <f t="shared" si="2"/>
        <v>Wed</v>
      </c>
      <c r="D172" s="55"/>
      <c r="O172" s="49"/>
    </row>
    <row r="173" spans="1:15" hidden="1" x14ac:dyDescent="0.3">
      <c r="A173" s="49"/>
      <c r="B173" s="54">
        <v>46163</v>
      </c>
      <c r="C173" s="55" t="str">
        <f t="shared" si="2"/>
        <v>Thu</v>
      </c>
      <c r="D173" s="55" t="s">
        <v>143</v>
      </c>
      <c r="O173" s="49"/>
    </row>
    <row r="174" spans="1:15" hidden="1" x14ac:dyDescent="0.3">
      <c r="A174" s="49"/>
      <c r="B174" s="54">
        <v>46164</v>
      </c>
      <c r="C174" s="55" t="str">
        <f t="shared" si="2"/>
        <v>Fri</v>
      </c>
      <c r="D174" s="55"/>
      <c r="O174" s="49"/>
    </row>
    <row r="175" spans="1:15" hidden="1" x14ac:dyDescent="0.3">
      <c r="A175" s="49"/>
      <c r="B175" s="54">
        <v>46165</v>
      </c>
      <c r="C175" s="55" t="str">
        <f t="shared" si="2"/>
        <v>Sat</v>
      </c>
      <c r="D175" s="55"/>
      <c r="O175" s="49"/>
    </row>
    <row r="176" spans="1:15" hidden="1" x14ac:dyDescent="0.3">
      <c r="A176" s="49"/>
      <c r="B176" s="54">
        <v>46166</v>
      </c>
      <c r="C176" s="55" t="str">
        <f t="shared" si="2"/>
        <v>Sun</v>
      </c>
      <c r="D176" s="55"/>
      <c r="O176" s="49"/>
    </row>
    <row r="177" spans="1:15" hidden="1" x14ac:dyDescent="0.3">
      <c r="A177" s="49"/>
      <c r="B177" s="54">
        <v>46167</v>
      </c>
      <c r="C177" s="55" t="str">
        <f t="shared" si="2"/>
        <v>Mon</v>
      </c>
      <c r="D177" s="55"/>
      <c r="O177" s="49"/>
    </row>
    <row r="178" spans="1:15" hidden="1" x14ac:dyDescent="0.3">
      <c r="A178" s="49"/>
      <c r="B178" s="54">
        <v>46168</v>
      </c>
      <c r="C178" s="55" t="str">
        <f t="shared" si="2"/>
        <v>Tue</v>
      </c>
      <c r="D178" s="55" t="s">
        <v>143</v>
      </c>
      <c r="O178" s="49"/>
    </row>
    <row r="179" spans="1:15" hidden="1" x14ac:dyDescent="0.3">
      <c r="A179" s="49"/>
      <c r="B179" s="54">
        <v>46169</v>
      </c>
      <c r="C179" s="55" t="str">
        <f t="shared" si="2"/>
        <v>Wed</v>
      </c>
      <c r="D179" s="55"/>
      <c r="O179" s="49"/>
    </row>
    <row r="180" spans="1:15" hidden="1" x14ac:dyDescent="0.3">
      <c r="A180" s="49"/>
      <c r="B180" s="54">
        <v>46170</v>
      </c>
      <c r="C180" s="55" t="str">
        <f t="shared" si="2"/>
        <v>Thu</v>
      </c>
      <c r="D180" s="55" t="s">
        <v>143</v>
      </c>
      <c r="O180" s="49"/>
    </row>
    <row r="181" spans="1:15" hidden="1" x14ac:dyDescent="0.3">
      <c r="A181" s="49"/>
      <c r="B181" s="54">
        <v>46171</v>
      </c>
      <c r="C181" s="55" t="str">
        <f t="shared" si="2"/>
        <v>Fri</v>
      </c>
      <c r="D181" s="55"/>
      <c r="O181" s="49"/>
    </row>
    <row r="182" spans="1:15" hidden="1" x14ac:dyDescent="0.3">
      <c r="A182" s="49"/>
      <c r="B182" s="54">
        <v>46172</v>
      </c>
      <c r="C182" s="55" t="str">
        <f t="shared" si="2"/>
        <v>Sat</v>
      </c>
      <c r="D182" s="55"/>
      <c r="O182" s="49"/>
    </row>
    <row r="183" spans="1:15" hidden="1" x14ac:dyDescent="0.3">
      <c r="A183" s="49"/>
      <c r="B183" s="54">
        <v>46173</v>
      </c>
      <c r="C183" s="55" t="str">
        <f t="shared" si="2"/>
        <v>Sun</v>
      </c>
      <c r="D183" s="55"/>
      <c r="O183" s="49"/>
    </row>
    <row r="184" spans="1:15" hidden="1" x14ac:dyDescent="0.3">
      <c r="A184" s="49"/>
      <c r="B184" s="54">
        <v>46174</v>
      </c>
      <c r="C184" s="55" t="str">
        <f t="shared" si="2"/>
        <v>Mon</v>
      </c>
      <c r="D184" s="55"/>
      <c r="O184" s="49"/>
    </row>
    <row r="185" spans="1:15" hidden="1" x14ac:dyDescent="0.3">
      <c r="A185" s="49"/>
      <c r="B185" s="54">
        <v>46175</v>
      </c>
      <c r="C185" s="55" t="str">
        <f t="shared" si="2"/>
        <v>Tue</v>
      </c>
      <c r="D185" s="55"/>
      <c r="O185" s="49"/>
    </row>
    <row r="186" spans="1:15" hidden="1" x14ac:dyDescent="0.3">
      <c r="A186" s="49"/>
      <c r="B186" s="54">
        <v>46176</v>
      </c>
      <c r="C186" s="55" t="str">
        <f t="shared" si="2"/>
        <v>Wed</v>
      </c>
      <c r="D186" s="55"/>
      <c r="O186" s="49"/>
    </row>
    <row r="187" spans="1:15" hidden="1" x14ac:dyDescent="0.3">
      <c r="A187" s="49"/>
      <c r="B187" s="54">
        <v>46177</v>
      </c>
      <c r="C187" s="55" t="str">
        <f t="shared" si="2"/>
        <v>Thu</v>
      </c>
      <c r="D187" s="55"/>
      <c r="O187" s="49"/>
    </row>
    <row r="188" spans="1:15" hidden="1" x14ac:dyDescent="0.3">
      <c r="A188" s="49"/>
      <c r="B188" s="54">
        <v>46178</v>
      </c>
      <c r="C188" s="55" t="str">
        <f t="shared" si="2"/>
        <v>Fri</v>
      </c>
      <c r="D188" s="55" t="s">
        <v>143</v>
      </c>
      <c r="O188" s="49"/>
    </row>
    <row r="189" spans="1:15" hidden="1" x14ac:dyDescent="0.3">
      <c r="A189" s="49"/>
      <c r="B189" s="54">
        <v>46179</v>
      </c>
      <c r="C189" s="55" t="str">
        <f t="shared" si="2"/>
        <v>Sat</v>
      </c>
      <c r="D189" s="55"/>
      <c r="O189" s="49"/>
    </row>
    <row r="190" spans="1:15" hidden="1" x14ac:dyDescent="0.3">
      <c r="A190" s="49"/>
      <c r="B190" s="54">
        <v>46180</v>
      </c>
      <c r="C190" s="55" t="str">
        <f t="shared" si="2"/>
        <v>Sun</v>
      </c>
      <c r="D190" s="55"/>
      <c r="O190" s="49"/>
    </row>
    <row r="191" spans="1:15" hidden="1" x14ac:dyDescent="0.3">
      <c r="A191" s="49"/>
      <c r="B191" s="54">
        <v>46181</v>
      </c>
      <c r="C191" s="55" t="str">
        <f t="shared" si="2"/>
        <v>Mon</v>
      </c>
      <c r="D191" s="55"/>
      <c r="O191" s="49"/>
    </row>
    <row r="192" spans="1:15" hidden="1" x14ac:dyDescent="0.3">
      <c r="A192" s="49"/>
      <c r="B192" s="54">
        <v>46182</v>
      </c>
      <c r="C192" s="55" t="str">
        <f t="shared" si="2"/>
        <v>Tue</v>
      </c>
      <c r="D192" s="55" t="s">
        <v>143</v>
      </c>
      <c r="O192" s="49"/>
    </row>
    <row r="193" spans="1:15" hidden="1" x14ac:dyDescent="0.3">
      <c r="A193" s="49"/>
      <c r="B193" s="54">
        <v>46183</v>
      </c>
      <c r="C193" s="55" t="str">
        <f t="shared" si="2"/>
        <v>Wed</v>
      </c>
      <c r="D193" s="55"/>
      <c r="O193" s="49"/>
    </row>
    <row r="194" spans="1:15" hidden="1" x14ac:dyDescent="0.3">
      <c r="A194" s="49"/>
      <c r="B194" s="54">
        <v>46184</v>
      </c>
      <c r="C194" s="55" t="str">
        <f t="shared" si="2"/>
        <v>Thu</v>
      </c>
      <c r="D194" s="55" t="s">
        <v>143</v>
      </c>
      <c r="O194" s="49"/>
    </row>
    <row r="195" spans="1:15" hidden="1" x14ac:dyDescent="0.3">
      <c r="A195" s="49"/>
      <c r="B195" s="54">
        <v>46185</v>
      </c>
      <c r="C195" s="55" t="str">
        <f t="shared" si="2"/>
        <v>Fri</v>
      </c>
      <c r="D195" s="55"/>
      <c r="O195" s="49"/>
    </row>
    <row r="196" spans="1:15" hidden="1" x14ac:dyDescent="0.3">
      <c r="A196" s="49"/>
      <c r="B196" s="54">
        <v>46186</v>
      </c>
      <c r="C196" s="55" t="str">
        <f t="shared" si="2"/>
        <v>Sat</v>
      </c>
      <c r="D196" s="55"/>
      <c r="O196" s="49"/>
    </row>
    <row r="197" spans="1:15" hidden="1" x14ac:dyDescent="0.3">
      <c r="A197" s="49"/>
      <c r="B197" s="54">
        <v>46187</v>
      </c>
      <c r="C197" s="55" t="str">
        <f t="shared" si="2"/>
        <v>Sun</v>
      </c>
      <c r="D197" s="55"/>
      <c r="O197" s="49"/>
    </row>
    <row r="198" spans="1:15" hidden="1" x14ac:dyDescent="0.3">
      <c r="A198" s="49"/>
      <c r="B198" s="54">
        <v>46188</v>
      </c>
      <c r="C198" s="55" t="str">
        <f t="shared" si="2"/>
        <v>Mon</v>
      </c>
      <c r="D198" s="55"/>
      <c r="O198" s="49"/>
    </row>
    <row r="199" spans="1:15" hidden="1" x14ac:dyDescent="0.3">
      <c r="A199" s="49"/>
      <c r="B199" s="54">
        <v>46189</v>
      </c>
      <c r="C199" s="55" t="str">
        <f t="shared" si="2"/>
        <v>Tue</v>
      </c>
      <c r="D199" s="55" t="s">
        <v>143</v>
      </c>
      <c r="O199" s="49"/>
    </row>
    <row r="200" spans="1:15" hidden="1" x14ac:dyDescent="0.3">
      <c r="A200" s="49"/>
      <c r="B200" s="54">
        <v>46190</v>
      </c>
      <c r="C200" s="55" t="str">
        <f t="shared" si="2"/>
        <v>Wed</v>
      </c>
      <c r="D200" s="55"/>
      <c r="O200" s="49"/>
    </row>
    <row r="201" spans="1:15" hidden="1" x14ac:dyDescent="0.3">
      <c r="A201" s="49"/>
      <c r="B201" s="54">
        <v>46191</v>
      </c>
      <c r="C201" s="55" t="str">
        <f t="shared" si="2"/>
        <v>Thu</v>
      </c>
      <c r="D201" s="55" t="s">
        <v>143</v>
      </c>
      <c r="O201" s="49"/>
    </row>
    <row r="202" spans="1:15" hidden="1" x14ac:dyDescent="0.3">
      <c r="A202" s="49"/>
      <c r="B202" s="54">
        <v>46192</v>
      </c>
      <c r="C202" s="55" t="str">
        <f t="shared" si="2"/>
        <v>Fri</v>
      </c>
      <c r="D202" s="55"/>
      <c r="O202" s="49"/>
    </row>
    <row r="203" spans="1:15" hidden="1" x14ac:dyDescent="0.3">
      <c r="A203" s="49"/>
      <c r="B203" s="54">
        <v>46193</v>
      </c>
      <c r="C203" s="55" t="str">
        <f t="shared" si="2"/>
        <v>Sat</v>
      </c>
      <c r="D203" s="55"/>
      <c r="O203" s="49"/>
    </row>
    <row r="204" spans="1:15" hidden="1" x14ac:dyDescent="0.3">
      <c r="A204" s="49"/>
      <c r="B204" s="54">
        <v>46194</v>
      </c>
      <c r="C204" s="55" t="str">
        <f t="shared" si="2"/>
        <v>Sun</v>
      </c>
      <c r="D204" s="55"/>
      <c r="O204" s="49"/>
    </row>
    <row r="205" spans="1:15" hidden="1" x14ac:dyDescent="0.3">
      <c r="A205" s="49"/>
      <c r="B205" s="54">
        <v>46195</v>
      </c>
      <c r="C205" s="55" t="str">
        <f t="shared" si="2"/>
        <v>Mon</v>
      </c>
      <c r="D205" s="55"/>
      <c r="O205" s="49"/>
    </row>
    <row r="206" spans="1:15" hidden="1" x14ac:dyDescent="0.3">
      <c r="A206" s="49"/>
      <c r="B206" s="54">
        <v>46196</v>
      </c>
      <c r="C206" s="55" t="str">
        <f t="shared" si="2"/>
        <v>Tue</v>
      </c>
      <c r="D206" s="55" t="s">
        <v>143</v>
      </c>
      <c r="O206" s="49"/>
    </row>
    <row r="207" spans="1:15" hidden="1" x14ac:dyDescent="0.3">
      <c r="A207" s="49"/>
      <c r="B207" s="54">
        <v>46197</v>
      </c>
      <c r="C207" s="55" t="str">
        <f t="shared" si="2"/>
        <v>Wed</v>
      </c>
      <c r="D207" s="55"/>
      <c r="O207" s="49"/>
    </row>
    <row r="208" spans="1:15" hidden="1" x14ac:dyDescent="0.3">
      <c r="A208" s="49"/>
      <c r="B208" s="54">
        <v>46198</v>
      </c>
      <c r="C208" s="55" t="str">
        <f t="shared" si="2"/>
        <v>Thu</v>
      </c>
      <c r="D208" s="55" t="s">
        <v>143</v>
      </c>
      <c r="O208" s="49"/>
    </row>
    <row r="209" spans="1:15" hidden="1" x14ac:dyDescent="0.3">
      <c r="A209" s="49"/>
      <c r="B209" s="54">
        <v>46199</v>
      </c>
      <c r="C209" s="55" t="str">
        <f t="shared" si="2"/>
        <v>Fri</v>
      </c>
      <c r="D209" s="55"/>
      <c r="O209" s="49"/>
    </row>
    <row r="210" spans="1:15" hidden="1" x14ac:dyDescent="0.3">
      <c r="A210" s="49"/>
      <c r="B210" s="54">
        <v>46200</v>
      </c>
      <c r="C210" s="55" t="str">
        <f t="shared" si="2"/>
        <v>Sat</v>
      </c>
      <c r="D210" s="55"/>
      <c r="O210" s="49"/>
    </row>
    <row r="211" spans="1:15" hidden="1" x14ac:dyDescent="0.3">
      <c r="A211" s="49"/>
      <c r="B211" s="54">
        <v>46201</v>
      </c>
      <c r="C211" s="55" t="str">
        <f t="shared" si="2"/>
        <v>Sun</v>
      </c>
      <c r="D211" s="55"/>
      <c r="O211" s="49"/>
    </row>
    <row r="212" spans="1:15" hidden="1" x14ac:dyDescent="0.3">
      <c r="A212" s="49"/>
      <c r="B212" s="54">
        <v>46202</v>
      </c>
      <c r="C212" s="55" t="str">
        <f t="shared" si="2"/>
        <v>Mon</v>
      </c>
      <c r="D212" s="55" t="s">
        <v>143</v>
      </c>
      <c r="O212" s="49"/>
    </row>
    <row r="213" spans="1:15" hidden="1" x14ac:dyDescent="0.3">
      <c r="A213" s="49"/>
      <c r="B213" s="54">
        <v>46203</v>
      </c>
      <c r="C213" s="55" t="str">
        <f t="shared" si="2"/>
        <v>Tue</v>
      </c>
      <c r="D213" s="55"/>
      <c r="O213" s="49"/>
    </row>
    <row r="214" spans="1:15" hidden="1" x14ac:dyDescent="0.3">
      <c r="A214" s="49"/>
      <c r="B214" s="54">
        <v>46204</v>
      </c>
      <c r="C214" s="55" t="str">
        <f t="shared" si="2"/>
        <v>Wed</v>
      </c>
      <c r="D214" s="55"/>
      <c r="O214" s="49"/>
    </row>
    <row r="215" spans="1:15" hidden="1" x14ac:dyDescent="0.3">
      <c r="A215" s="49"/>
      <c r="B215" s="54">
        <v>46205</v>
      </c>
      <c r="C215" s="55" t="str">
        <f t="shared" si="2"/>
        <v>Thu</v>
      </c>
      <c r="D215" s="55"/>
      <c r="O215" s="49"/>
    </row>
    <row r="216" spans="1:15" hidden="1" x14ac:dyDescent="0.3">
      <c r="A216" s="49"/>
      <c r="B216" s="54">
        <v>46206</v>
      </c>
      <c r="C216" s="55" t="str">
        <f t="shared" si="2"/>
        <v>Fri</v>
      </c>
      <c r="D216" s="55" t="s">
        <v>143</v>
      </c>
      <c r="O216" s="49"/>
    </row>
    <row r="217" spans="1:15" hidden="1" x14ac:dyDescent="0.3">
      <c r="A217" s="49"/>
      <c r="B217" s="54">
        <v>46207</v>
      </c>
      <c r="C217" s="55" t="str">
        <f t="shared" si="2"/>
        <v>Sat</v>
      </c>
      <c r="D217" s="55"/>
      <c r="O217" s="49"/>
    </row>
    <row r="218" spans="1:15" hidden="1" x14ac:dyDescent="0.3">
      <c r="A218" s="49"/>
      <c r="B218" s="54">
        <v>46208</v>
      </c>
      <c r="C218" s="55" t="str">
        <f t="shared" si="2"/>
        <v>Sun</v>
      </c>
      <c r="D218" s="55"/>
      <c r="O218" s="49"/>
    </row>
    <row r="219" spans="1:15" hidden="1" x14ac:dyDescent="0.3">
      <c r="A219" s="49"/>
      <c r="B219" s="54">
        <v>46209</v>
      </c>
      <c r="C219" s="55" t="str">
        <f t="shared" si="2"/>
        <v>Mon</v>
      </c>
      <c r="D219" s="55"/>
      <c r="O219" s="49"/>
    </row>
    <row r="220" spans="1:15" hidden="1" x14ac:dyDescent="0.3">
      <c r="A220" s="49"/>
      <c r="B220" s="54">
        <v>46210</v>
      </c>
      <c r="C220" s="55" t="str">
        <f t="shared" si="2"/>
        <v>Tue</v>
      </c>
      <c r="D220" s="55" t="s">
        <v>143</v>
      </c>
      <c r="O220" s="49"/>
    </row>
    <row r="221" spans="1:15" hidden="1" x14ac:dyDescent="0.3">
      <c r="A221" s="49"/>
      <c r="B221" s="54">
        <v>46211</v>
      </c>
      <c r="C221" s="55" t="str">
        <f t="shared" si="2"/>
        <v>Wed</v>
      </c>
      <c r="D221" s="55"/>
      <c r="O221" s="49"/>
    </row>
    <row r="222" spans="1:15" hidden="1" x14ac:dyDescent="0.3">
      <c r="A222" s="49"/>
      <c r="B222" s="54">
        <v>46212</v>
      </c>
      <c r="C222" s="55" t="str">
        <f t="shared" si="2"/>
        <v>Thu</v>
      </c>
      <c r="D222" s="55" t="s">
        <v>143</v>
      </c>
      <c r="O222" s="49"/>
    </row>
    <row r="223" spans="1:15" hidden="1" x14ac:dyDescent="0.3">
      <c r="A223" s="49"/>
      <c r="B223" s="54">
        <v>46213</v>
      </c>
      <c r="C223" s="55" t="str">
        <f t="shared" si="2"/>
        <v>Fri</v>
      </c>
      <c r="D223" s="55" t="s">
        <v>143</v>
      </c>
      <c r="O223" s="49"/>
    </row>
    <row r="224" spans="1:15" hidden="1" x14ac:dyDescent="0.3">
      <c r="A224" s="49"/>
      <c r="B224" s="54">
        <v>46214</v>
      </c>
      <c r="C224" s="55" t="str">
        <f t="shared" si="2"/>
        <v>Sat</v>
      </c>
      <c r="D224" s="55"/>
      <c r="O224" s="49"/>
    </row>
    <row r="225" spans="1:15" hidden="1" x14ac:dyDescent="0.3">
      <c r="A225" s="49"/>
      <c r="B225" s="54">
        <v>46215</v>
      </c>
      <c r="C225" s="55" t="str">
        <f t="shared" si="2"/>
        <v>Sun</v>
      </c>
      <c r="D225" s="55"/>
      <c r="O225" s="49"/>
    </row>
    <row r="226" spans="1:15" hidden="1" x14ac:dyDescent="0.3">
      <c r="A226" s="49"/>
      <c r="B226" s="54">
        <v>46216</v>
      </c>
      <c r="C226" s="55" t="str">
        <f t="shared" ref="C226:C289" si="3">TEXT(B226,"ddd")</f>
        <v>Mon</v>
      </c>
      <c r="D226" s="55"/>
      <c r="O226" s="49"/>
    </row>
    <row r="227" spans="1:15" hidden="1" x14ac:dyDescent="0.3">
      <c r="A227" s="49"/>
      <c r="B227" s="54">
        <v>46217</v>
      </c>
      <c r="C227" s="55" t="str">
        <f t="shared" si="3"/>
        <v>Tue</v>
      </c>
      <c r="D227" s="55"/>
      <c r="O227" s="49"/>
    </row>
    <row r="228" spans="1:15" hidden="1" x14ac:dyDescent="0.3">
      <c r="A228" s="49"/>
      <c r="B228" s="54">
        <v>46218</v>
      </c>
      <c r="C228" s="55" t="str">
        <f t="shared" si="3"/>
        <v>Wed</v>
      </c>
      <c r="D228" s="55"/>
      <c r="O228" s="49"/>
    </row>
    <row r="229" spans="1:15" hidden="1" x14ac:dyDescent="0.3">
      <c r="A229" s="49"/>
      <c r="B229" s="54">
        <v>46219</v>
      </c>
      <c r="C229" s="55" t="str">
        <f t="shared" si="3"/>
        <v>Thu</v>
      </c>
      <c r="D229" s="55"/>
      <c r="O229" s="49"/>
    </row>
    <row r="230" spans="1:15" hidden="1" x14ac:dyDescent="0.3">
      <c r="A230" s="49"/>
      <c r="B230" s="54">
        <v>46220</v>
      </c>
      <c r="C230" s="55" t="str">
        <f t="shared" si="3"/>
        <v>Fri</v>
      </c>
      <c r="D230" s="55" t="s">
        <v>143</v>
      </c>
      <c r="O230" s="49"/>
    </row>
    <row r="231" spans="1:15" hidden="1" x14ac:dyDescent="0.3">
      <c r="A231" s="49"/>
      <c r="B231" s="54">
        <v>46221</v>
      </c>
      <c r="C231" s="55" t="str">
        <f t="shared" si="3"/>
        <v>Sat</v>
      </c>
      <c r="D231" s="55"/>
      <c r="O231" s="49"/>
    </row>
    <row r="232" spans="1:15" hidden="1" x14ac:dyDescent="0.3">
      <c r="A232" s="49"/>
      <c r="B232" s="54">
        <v>46222</v>
      </c>
      <c r="C232" s="55" t="str">
        <f t="shared" si="3"/>
        <v>Sun</v>
      </c>
      <c r="D232" s="55"/>
      <c r="O232" s="49"/>
    </row>
    <row r="233" spans="1:15" hidden="1" x14ac:dyDescent="0.3">
      <c r="A233" s="49"/>
      <c r="B233" s="54">
        <v>46223</v>
      </c>
      <c r="C233" s="55" t="str">
        <f t="shared" si="3"/>
        <v>Mon</v>
      </c>
      <c r="D233" s="55"/>
      <c r="O233" s="49"/>
    </row>
    <row r="234" spans="1:15" hidden="1" x14ac:dyDescent="0.3">
      <c r="A234" s="49"/>
      <c r="B234" s="54">
        <v>46224</v>
      </c>
      <c r="C234" s="55" t="str">
        <f t="shared" si="3"/>
        <v>Tue</v>
      </c>
      <c r="D234" s="55"/>
      <c r="O234" s="49"/>
    </row>
    <row r="235" spans="1:15" hidden="1" x14ac:dyDescent="0.3">
      <c r="A235" s="49"/>
      <c r="B235" s="54">
        <v>46225</v>
      </c>
      <c r="C235" s="55" t="str">
        <f t="shared" si="3"/>
        <v>Wed</v>
      </c>
      <c r="D235" s="55"/>
      <c r="O235" s="49"/>
    </row>
    <row r="236" spans="1:15" hidden="1" x14ac:dyDescent="0.3">
      <c r="A236" s="49"/>
      <c r="B236" s="54">
        <v>46226</v>
      </c>
      <c r="C236" s="55" t="str">
        <f t="shared" si="3"/>
        <v>Thu</v>
      </c>
      <c r="D236" s="55"/>
      <c r="O236" s="49"/>
    </row>
    <row r="237" spans="1:15" hidden="1" x14ac:dyDescent="0.3">
      <c r="A237" s="49"/>
      <c r="B237" s="54">
        <v>46227</v>
      </c>
      <c r="C237" s="55" t="str">
        <f t="shared" si="3"/>
        <v>Fri</v>
      </c>
      <c r="D237" s="55"/>
      <c r="O237" s="49"/>
    </row>
    <row r="238" spans="1:15" hidden="1" x14ac:dyDescent="0.3">
      <c r="A238" s="49"/>
      <c r="B238" s="54">
        <v>46228</v>
      </c>
      <c r="C238" s="55" t="str">
        <f t="shared" si="3"/>
        <v>Sat</v>
      </c>
      <c r="D238" s="55" t="s">
        <v>143</v>
      </c>
      <c r="O238" s="49"/>
    </row>
    <row r="239" spans="1:15" hidden="1" x14ac:dyDescent="0.3">
      <c r="A239" s="49"/>
      <c r="B239" s="54">
        <v>46229</v>
      </c>
      <c r="C239" s="55" t="str">
        <f t="shared" si="3"/>
        <v>Sun</v>
      </c>
      <c r="D239" s="55"/>
      <c r="O239" s="49"/>
    </row>
    <row r="240" spans="1:15" hidden="1" x14ac:dyDescent="0.3">
      <c r="A240" s="49"/>
      <c r="B240" s="54">
        <v>46230</v>
      </c>
      <c r="C240" s="55" t="str">
        <f t="shared" si="3"/>
        <v>Mon</v>
      </c>
      <c r="D240" s="55"/>
      <c r="O240" s="49"/>
    </row>
    <row r="241" spans="1:15" hidden="1" x14ac:dyDescent="0.3">
      <c r="A241" s="49"/>
      <c r="B241" s="54">
        <v>46231</v>
      </c>
      <c r="C241" s="55" t="str">
        <f t="shared" si="3"/>
        <v>Tue</v>
      </c>
      <c r="D241" s="55" t="s">
        <v>143</v>
      </c>
      <c r="O241" s="49"/>
    </row>
    <row r="242" spans="1:15" hidden="1" x14ac:dyDescent="0.3">
      <c r="A242" s="49"/>
      <c r="B242" s="54">
        <v>46232</v>
      </c>
      <c r="C242" s="55" t="str">
        <f t="shared" si="3"/>
        <v>Wed</v>
      </c>
      <c r="D242" s="55"/>
      <c r="O242" s="49"/>
    </row>
    <row r="243" spans="1:15" hidden="1" x14ac:dyDescent="0.3">
      <c r="A243" s="49"/>
      <c r="B243" s="54">
        <v>46233</v>
      </c>
      <c r="C243" s="55" t="str">
        <f t="shared" si="3"/>
        <v>Thu</v>
      </c>
      <c r="D243" s="55"/>
      <c r="O243" s="49"/>
    </row>
    <row r="244" spans="1:15" hidden="1" x14ac:dyDescent="0.3">
      <c r="A244" s="49"/>
      <c r="B244" s="54">
        <v>46234</v>
      </c>
      <c r="C244" s="55" t="str">
        <f t="shared" si="3"/>
        <v>Fri</v>
      </c>
      <c r="D244" s="55" t="s">
        <v>143</v>
      </c>
      <c r="O244" s="49"/>
    </row>
    <row r="245" spans="1:15" x14ac:dyDescent="0.3">
      <c r="A245" s="49"/>
      <c r="B245" s="54">
        <v>46235</v>
      </c>
      <c r="C245" s="55" t="str">
        <f t="shared" si="3"/>
        <v>Sat</v>
      </c>
      <c r="D245" s="55"/>
      <c r="O245" s="49"/>
    </row>
    <row r="246" spans="1:15" x14ac:dyDescent="0.3">
      <c r="A246" s="49"/>
      <c r="B246" s="54">
        <v>46236</v>
      </c>
      <c r="C246" s="55" t="str">
        <f t="shared" si="3"/>
        <v>Sun</v>
      </c>
      <c r="D246" s="55"/>
      <c r="O246" s="49"/>
    </row>
    <row r="247" spans="1:15" x14ac:dyDescent="0.3">
      <c r="A247" s="49"/>
      <c r="B247" s="54">
        <v>46237</v>
      </c>
      <c r="C247" s="55" t="str">
        <f t="shared" si="3"/>
        <v>Mon</v>
      </c>
      <c r="D247" s="55"/>
      <c r="O247" s="49"/>
    </row>
    <row r="248" spans="1:15" x14ac:dyDescent="0.3">
      <c r="A248" s="49"/>
      <c r="B248" s="54">
        <v>46238</v>
      </c>
      <c r="C248" s="55" t="str">
        <f t="shared" si="3"/>
        <v>Tue</v>
      </c>
      <c r="D248" s="55"/>
      <c r="O248" s="49"/>
    </row>
    <row r="249" spans="1:15" x14ac:dyDescent="0.3">
      <c r="A249" s="49"/>
      <c r="B249" s="54">
        <v>46239</v>
      </c>
      <c r="C249" s="55" t="str">
        <f t="shared" si="3"/>
        <v>Wed</v>
      </c>
      <c r="D249" s="55"/>
      <c r="O249" s="49"/>
    </row>
    <row r="250" spans="1:15" x14ac:dyDescent="0.3">
      <c r="A250" s="49"/>
      <c r="B250" s="54">
        <v>46240</v>
      </c>
      <c r="C250" s="55" t="str">
        <f t="shared" si="3"/>
        <v>Thu</v>
      </c>
      <c r="D250" s="55"/>
      <c r="O250" s="49"/>
    </row>
    <row r="251" spans="1:15" x14ac:dyDescent="0.3">
      <c r="A251" s="49"/>
      <c r="B251" s="54">
        <v>46241</v>
      </c>
      <c r="C251" s="55" t="str">
        <f t="shared" si="3"/>
        <v>Fri</v>
      </c>
      <c r="D251" s="55"/>
      <c r="O251" s="49"/>
    </row>
    <row r="252" spans="1:15" x14ac:dyDescent="0.3">
      <c r="A252" s="49"/>
      <c r="B252" s="54">
        <v>46242</v>
      </c>
      <c r="C252" s="55" t="str">
        <f t="shared" si="3"/>
        <v>Sat</v>
      </c>
      <c r="D252" s="55"/>
      <c r="O252" s="49"/>
    </row>
    <row r="253" spans="1:15" x14ac:dyDescent="0.3">
      <c r="A253" s="49"/>
      <c r="B253" s="54">
        <v>46243</v>
      </c>
      <c r="C253" s="55" t="str">
        <f t="shared" si="3"/>
        <v>Sun</v>
      </c>
      <c r="D253" s="55"/>
      <c r="O253" s="49"/>
    </row>
    <row r="254" spans="1:15" x14ac:dyDescent="0.3">
      <c r="A254" s="49"/>
      <c r="B254" s="54">
        <v>46244</v>
      </c>
      <c r="C254" s="55" t="str">
        <f t="shared" si="3"/>
        <v>Mon</v>
      </c>
      <c r="D254" s="55"/>
      <c r="O254" s="49"/>
    </row>
    <row r="255" spans="1:15" x14ac:dyDescent="0.3">
      <c r="A255" s="49"/>
      <c r="B255" s="54">
        <v>46245</v>
      </c>
      <c r="C255" s="55" t="str">
        <f t="shared" si="3"/>
        <v>Tue</v>
      </c>
      <c r="D255" s="55"/>
      <c r="O255" s="49"/>
    </row>
    <row r="256" spans="1:15" x14ac:dyDescent="0.3">
      <c r="A256" s="49"/>
      <c r="B256" s="54">
        <v>46246</v>
      </c>
      <c r="C256" s="55" t="str">
        <f t="shared" si="3"/>
        <v>Wed</v>
      </c>
      <c r="D256" s="55"/>
      <c r="O256" s="49"/>
    </row>
    <row r="257" spans="1:15" x14ac:dyDescent="0.3">
      <c r="A257" s="49"/>
      <c r="B257" s="54">
        <v>46247</v>
      </c>
      <c r="C257" s="55" t="str">
        <f t="shared" si="3"/>
        <v>Thu</v>
      </c>
      <c r="D257" s="55"/>
      <c r="O257" s="49"/>
    </row>
    <row r="258" spans="1:15" x14ac:dyDescent="0.3">
      <c r="A258" s="49"/>
      <c r="B258" s="54">
        <v>46248</v>
      </c>
      <c r="C258" s="55" t="str">
        <f t="shared" si="3"/>
        <v>Fri</v>
      </c>
      <c r="D258" s="55"/>
      <c r="O258" s="49"/>
    </row>
    <row r="259" spans="1:15" x14ac:dyDescent="0.3">
      <c r="A259" s="49"/>
      <c r="B259" s="54">
        <v>46249</v>
      </c>
      <c r="C259" s="55" t="str">
        <f t="shared" si="3"/>
        <v>Sat</v>
      </c>
      <c r="D259" s="55"/>
      <c r="O259" s="49"/>
    </row>
    <row r="260" spans="1:15" x14ac:dyDescent="0.3">
      <c r="A260" s="49"/>
      <c r="B260" s="54">
        <v>46250</v>
      </c>
      <c r="C260" s="55" t="str">
        <f t="shared" si="3"/>
        <v>Sun</v>
      </c>
      <c r="D260" s="55"/>
      <c r="O260" s="49"/>
    </row>
    <row r="261" spans="1:15" x14ac:dyDescent="0.3">
      <c r="A261" s="49"/>
      <c r="B261" s="54">
        <v>46251</v>
      </c>
      <c r="C261" s="55" t="str">
        <f t="shared" si="3"/>
        <v>Mon</v>
      </c>
      <c r="D261" s="55"/>
      <c r="O261" s="49"/>
    </row>
    <row r="262" spans="1:15" x14ac:dyDescent="0.3">
      <c r="A262" s="49"/>
      <c r="B262" s="54">
        <v>46252</v>
      </c>
      <c r="C262" s="55" t="str">
        <f t="shared" si="3"/>
        <v>Tue</v>
      </c>
      <c r="D262" s="55"/>
      <c r="O262" s="49"/>
    </row>
    <row r="263" spans="1:15" x14ac:dyDescent="0.3">
      <c r="A263" s="49"/>
      <c r="B263" s="54">
        <v>46253</v>
      </c>
      <c r="C263" s="55" t="str">
        <f t="shared" si="3"/>
        <v>Wed</v>
      </c>
      <c r="D263" s="55"/>
      <c r="O263" s="49"/>
    </row>
    <row r="264" spans="1:15" x14ac:dyDescent="0.3">
      <c r="A264" s="49"/>
      <c r="B264" s="54">
        <v>46254</v>
      </c>
      <c r="C264" s="55" t="str">
        <f t="shared" si="3"/>
        <v>Thu</v>
      </c>
      <c r="D264" s="55"/>
      <c r="O264" s="49"/>
    </row>
    <row r="265" spans="1:15" x14ac:dyDescent="0.3">
      <c r="A265" s="49"/>
      <c r="B265" s="54">
        <v>46255</v>
      </c>
      <c r="C265" s="55" t="str">
        <f t="shared" si="3"/>
        <v>Fri</v>
      </c>
      <c r="D265" s="55"/>
      <c r="O265" s="49"/>
    </row>
    <row r="266" spans="1:15" x14ac:dyDescent="0.3">
      <c r="A266" s="49"/>
      <c r="B266" s="54">
        <v>46256</v>
      </c>
      <c r="C266" s="55" t="str">
        <f t="shared" si="3"/>
        <v>Sat</v>
      </c>
      <c r="D266" s="55"/>
      <c r="O266" s="49"/>
    </row>
    <row r="267" spans="1:15" x14ac:dyDescent="0.3">
      <c r="A267" s="49"/>
      <c r="B267" s="54">
        <v>46257</v>
      </c>
      <c r="C267" s="55" t="str">
        <f t="shared" si="3"/>
        <v>Sun</v>
      </c>
      <c r="D267" s="55"/>
      <c r="O267" s="49"/>
    </row>
    <row r="268" spans="1:15" x14ac:dyDescent="0.3">
      <c r="A268" s="49"/>
      <c r="B268" s="54">
        <v>46258</v>
      </c>
      <c r="C268" s="55" t="str">
        <f t="shared" si="3"/>
        <v>Mon</v>
      </c>
      <c r="D268" s="55"/>
      <c r="O268" s="49"/>
    </row>
    <row r="269" spans="1:15" x14ac:dyDescent="0.3">
      <c r="A269" s="49"/>
      <c r="B269" s="54">
        <v>46259</v>
      </c>
      <c r="C269" s="55" t="str">
        <f t="shared" si="3"/>
        <v>Tue</v>
      </c>
      <c r="D269" s="55"/>
      <c r="O269" s="49"/>
    </row>
    <row r="270" spans="1:15" x14ac:dyDescent="0.3">
      <c r="A270" s="49"/>
      <c r="B270" s="54">
        <v>46260</v>
      </c>
      <c r="C270" s="55" t="str">
        <f t="shared" si="3"/>
        <v>Wed</v>
      </c>
      <c r="D270" s="55"/>
      <c r="O270" s="49"/>
    </row>
    <row r="271" spans="1:15" x14ac:dyDescent="0.3">
      <c r="A271" s="49"/>
      <c r="B271" s="54">
        <v>46261</v>
      </c>
      <c r="C271" s="55" t="str">
        <f t="shared" si="3"/>
        <v>Thu</v>
      </c>
      <c r="D271" s="55"/>
      <c r="O271" s="49"/>
    </row>
    <row r="272" spans="1:15" x14ac:dyDescent="0.3">
      <c r="A272" s="49"/>
      <c r="B272" s="54">
        <v>46262</v>
      </c>
      <c r="C272" s="55" t="str">
        <f t="shared" si="3"/>
        <v>Fri</v>
      </c>
      <c r="D272" s="55"/>
      <c r="O272" s="49"/>
    </row>
    <row r="273" spans="1:15" x14ac:dyDescent="0.3">
      <c r="A273" s="49"/>
      <c r="B273" s="54">
        <v>46263</v>
      </c>
      <c r="C273" s="55" t="str">
        <f t="shared" si="3"/>
        <v>Sat</v>
      </c>
      <c r="D273" s="55"/>
      <c r="O273" s="49"/>
    </row>
    <row r="274" spans="1:15" x14ac:dyDescent="0.3">
      <c r="A274" s="49"/>
      <c r="B274" s="54">
        <v>46264</v>
      </c>
      <c r="C274" s="55" t="str">
        <f t="shared" si="3"/>
        <v>Sun</v>
      </c>
      <c r="D274" s="55"/>
      <c r="O274" s="49"/>
    </row>
    <row r="275" spans="1:15" x14ac:dyDescent="0.3">
      <c r="A275" s="49"/>
      <c r="B275" s="54">
        <v>46265</v>
      </c>
      <c r="C275" s="55" t="str">
        <f t="shared" si="3"/>
        <v>Mon</v>
      </c>
      <c r="D275" s="55"/>
      <c r="O275" s="49"/>
    </row>
    <row r="276" spans="1:15" hidden="1" x14ac:dyDescent="0.3">
      <c r="A276" s="49"/>
      <c r="B276" s="54">
        <v>46266</v>
      </c>
      <c r="C276" s="55" t="str">
        <f t="shared" si="3"/>
        <v>Tue</v>
      </c>
      <c r="D276" s="55"/>
      <c r="O276" s="49"/>
    </row>
    <row r="277" spans="1:15" hidden="1" x14ac:dyDescent="0.3">
      <c r="A277" s="49"/>
      <c r="B277" s="54">
        <v>46267</v>
      </c>
      <c r="C277" s="55" t="str">
        <f t="shared" si="3"/>
        <v>Wed</v>
      </c>
      <c r="D277" s="55"/>
      <c r="O277" s="49"/>
    </row>
    <row r="278" spans="1:15" hidden="1" x14ac:dyDescent="0.3">
      <c r="A278" s="49"/>
      <c r="B278" s="54">
        <v>46268</v>
      </c>
      <c r="C278" s="55" t="str">
        <f t="shared" si="3"/>
        <v>Thu</v>
      </c>
      <c r="D278" s="55"/>
      <c r="O278" s="49"/>
    </row>
    <row r="279" spans="1:15" hidden="1" x14ac:dyDescent="0.3">
      <c r="A279" s="49"/>
      <c r="B279" s="54">
        <v>46269</v>
      </c>
      <c r="C279" s="55" t="str">
        <f t="shared" si="3"/>
        <v>Fri</v>
      </c>
      <c r="D279" s="55"/>
      <c r="O279" s="49"/>
    </row>
    <row r="280" spans="1:15" hidden="1" x14ac:dyDescent="0.3">
      <c r="A280" s="49"/>
      <c r="B280" s="54">
        <v>46270</v>
      </c>
      <c r="C280" s="55" t="str">
        <f t="shared" si="3"/>
        <v>Sat</v>
      </c>
      <c r="D280" s="55"/>
      <c r="O280" s="49"/>
    </row>
    <row r="281" spans="1:15" hidden="1" x14ac:dyDescent="0.3">
      <c r="A281" s="49"/>
      <c r="B281" s="54">
        <v>46271</v>
      </c>
      <c r="C281" s="55" t="str">
        <f t="shared" si="3"/>
        <v>Sun</v>
      </c>
      <c r="D281" s="55"/>
      <c r="O281" s="49"/>
    </row>
    <row r="282" spans="1:15" hidden="1" x14ac:dyDescent="0.3">
      <c r="A282" s="49"/>
      <c r="B282" s="54">
        <v>46272</v>
      </c>
      <c r="C282" s="55" t="str">
        <f t="shared" si="3"/>
        <v>Mon</v>
      </c>
      <c r="D282" s="55"/>
      <c r="O282" s="49"/>
    </row>
    <row r="283" spans="1:15" hidden="1" x14ac:dyDescent="0.3">
      <c r="A283" s="49"/>
      <c r="B283" s="54">
        <v>46273</v>
      </c>
      <c r="C283" s="55" t="str">
        <f t="shared" si="3"/>
        <v>Tue</v>
      </c>
      <c r="D283" s="55"/>
      <c r="O283" s="49"/>
    </row>
    <row r="284" spans="1:15" hidden="1" x14ac:dyDescent="0.3">
      <c r="A284" s="49"/>
      <c r="B284" s="54">
        <v>46274</v>
      </c>
      <c r="C284" s="55" t="str">
        <f t="shared" si="3"/>
        <v>Wed</v>
      </c>
      <c r="D284" s="55"/>
      <c r="O284" s="49"/>
    </row>
    <row r="285" spans="1:15" hidden="1" x14ac:dyDescent="0.3">
      <c r="A285" s="49"/>
      <c r="B285" s="54">
        <v>46275</v>
      </c>
      <c r="C285" s="55" t="str">
        <f t="shared" si="3"/>
        <v>Thu</v>
      </c>
      <c r="D285" s="55"/>
      <c r="O285" s="49"/>
    </row>
    <row r="286" spans="1:15" hidden="1" x14ac:dyDescent="0.3">
      <c r="A286" s="49"/>
      <c r="B286" s="54">
        <v>46276</v>
      </c>
      <c r="C286" s="55" t="str">
        <f t="shared" si="3"/>
        <v>Fri</v>
      </c>
      <c r="D286" s="55"/>
      <c r="O286" s="49"/>
    </row>
    <row r="287" spans="1:15" hidden="1" x14ac:dyDescent="0.3">
      <c r="A287" s="49"/>
      <c r="B287" s="54">
        <v>46277</v>
      </c>
      <c r="C287" s="55" t="str">
        <f t="shared" si="3"/>
        <v>Sat</v>
      </c>
      <c r="D287" s="55"/>
      <c r="O287" s="49"/>
    </row>
    <row r="288" spans="1:15" hidden="1" x14ac:dyDescent="0.3">
      <c r="A288" s="49"/>
      <c r="B288" s="54">
        <v>46278</v>
      </c>
      <c r="C288" s="55" t="str">
        <f t="shared" si="3"/>
        <v>Sun</v>
      </c>
      <c r="D288" s="55"/>
      <c r="O288" s="49"/>
    </row>
    <row r="289" spans="1:15" hidden="1" x14ac:dyDescent="0.3">
      <c r="A289" s="49"/>
      <c r="B289" s="54">
        <v>46279</v>
      </c>
      <c r="C289" s="55" t="str">
        <f t="shared" si="3"/>
        <v>Mon</v>
      </c>
      <c r="D289" s="55"/>
      <c r="O289" s="49"/>
    </row>
    <row r="290" spans="1:15" hidden="1" x14ac:dyDescent="0.3">
      <c r="A290" s="49"/>
      <c r="B290" s="54">
        <v>46280</v>
      </c>
      <c r="C290" s="55" t="str">
        <f t="shared" ref="C290:C353" si="4">TEXT(B290,"ddd")</f>
        <v>Tue</v>
      </c>
      <c r="D290" s="55"/>
      <c r="O290" s="49"/>
    </row>
    <row r="291" spans="1:15" hidden="1" x14ac:dyDescent="0.3">
      <c r="A291" s="49"/>
      <c r="B291" s="54">
        <v>46281</v>
      </c>
      <c r="C291" s="55" t="str">
        <f t="shared" si="4"/>
        <v>Wed</v>
      </c>
      <c r="D291" s="55"/>
      <c r="O291" s="49"/>
    </row>
    <row r="292" spans="1:15" hidden="1" x14ac:dyDescent="0.3">
      <c r="A292" s="49"/>
      <c r="B292" s="54">
        <v>46282</v>
      </c>
      <c r="C292" s="55" t="str">
        <f t="shared" si="4"/>
        <v>Thu</v>
      </c>
      <c r="D292" s="55"/>
      <c r="O292" s="49"/>
    </row>
    <row r="293" spans="1:15" hidden="1" x14ac:dyDescent="0.3">
      <c r="A293" s="49"/>
      <c r="B293" s="54">
        <v>46283</v>
      </c>
      <c r="C293" s="55" t="str">
        <f t="shared" si="4"/>
        <v>Fri</v>
      </c>
      <c r="D293" s="55"/>
      <c r="O293" s="49"/>
    </row>
    <row r="294" spans="1:15" hidden="1" x14ac:dyDescent="0.3">
      <c r="A294" s="49"/>
      <c r="B294" s="54">
        <v>46284</v>
      </c>
      <c r="C294" s="55" t="str">
        <f t="shared" si="4"/>
        <v>Sat</v>
      </c>
      <c r="D294" s="55"/>
      <c r="O294" s="49"/>
    </row>
    <row r="295" spans="1:15" hidden="1" x14ac:dyDescent="0.3">
      <c r="A295" s="49"/>
      <c r="B295" s="54">
        <v>46285</v>
      </c>
      <c r="C295" s="55" t="str">
        <f t="shared" si="4"/>
        <v>Sun</v>
      </c>
      <c r="D295" s="55"/>
      <c r="O295" s="49"/>
    </row>
    <row r="296" spans="1:15" hidden="1" x14ac:dyDescent="0.3">
      <c r="A296" s="49"/>
      <c r="B296" s="54">
        <v>46286</v>
      </c>
      <c r="C296" s="55" t="str">
        <f t="shared" si="4"/>
        <v>Mon</v>
      </c>
      <c r="D296" s="55"/>
      <c r="O296" s="49"/>
    </row>
    <row r="297" spans="1:15" hidden="1" x14ac:dyDescent="0.3">
      <c r="A297" s="49"/>
      <c r="B297" s="54">
        <v>46287</v>
      </c>
      <c r="C297" s="55" t="str">
        <f t="shared" si="4"/>
        <v>Tue</v>
      </c>
      <c r="D297" s="55"/>
      <c r="O297" s="49"/>
    </row>
    <row r="298" spans="1:15" hidden="1" x14ac:dyDescent="0.3">
      <c r="A298" s="49"/>
      <c r="B298" s="54">
        <v>46288</v>
      </c>
      <c r="C298" s="55" t="str">
        <f t="shared" si="4"/>
        <v>Wed</v>
      </c>
      <c r="D298" s="55"/>
      <c r="O298" s="49"/>
    </row>
    <row r="299" spans="1:15" hidden="1" x14ac:dyDescent="0.3">
      <c r="A299" s="49"/>
      <c r="B299" s="54">
        <v>46289</v>
      </c>
      <c r="C299" s="55" t="str">
        <f t="shared" si="4"/>
        <v>Thu</v>
      </c>
      <c r="D299" s="55"/>
      <c r="O299" s="49"/>
    </row>
    <row r="300" spans="1:15" hidden="1" x14ac:dyDescent="0.3">
      <c r="A300" s="49"/>
      <c r="B300" s="54">
        <v>46290</v>
      </c>
      <c r="C300" s="55" t="str">
        <f t="shared" si="4"/>
        <v>Fri</v>
      </c>
      <c r="D300" s="55"/>
      <c r="O300" s="49"/>
    </row>
    <row r="301" spans="1:15" hidden="1" x14ac:dyDescent="0.3">
      <c r="A301" s="49"/>
      <c r="B301" s="54">
        <v>46291</v>
      </c>
      <c r="C301" s="55" t="str">
        <f t="shared" si="4"/>
        <v>Sat</v>
      </c>
      <c r="D301" s="55"/>
      <c r="O301" s="49"/>
    </row>
    <row r="302" spans="1:15" hidden="1" x14ac:dyDescent="0.3">
      <c r="A302" s="49"/>
      <c r="B302" s="54">
        <v>46292</v>
      </c>
      <c r="C302" s="55" t="str">
        <f t="shared" si="4"/>
        <v>Sun</v>
      </c>
      <c r="D302" s="55"/>
      <c r="O302" s="49"/>
    </row>
    <row r="303" spans="1:15" hidden="1" x14ac:dyDescent="0.3">
      <c r="A303" s="49"/>
      <c r="B303" s="54">
        <v>46293</v>
      </c>
      <c r="C303" s="55" t="str">
        <f t="shared" si="4"/>
        <v>Mon</v>
      </c>
      <c r="D303" s="55"/>
      <c r="O303" s="49"/>
    </row>
    <row r="304" spans="1:15" hidden="1" x14ac:dyDescent="0.3">
      <c r="A304" s="49"/>
      <c r="B304" s="54">
        <v>46294</v>
      </c>
      <c r="C304" s="55" t="str">
        <f t="shared" si="4"/>
        <v>Tue</v>
      </c>
      <c r="D304" s="55"/>
      <c r="O304" s="49"/>
    </row>
    <row r="305" spans="1:15" hidden="1" x14ac:dyDescent="0.3">
      <c r="A305" s="49"/>
      <c r="B305" s="54">
        <v>46295</v>
      </c>
      <c r="C305" s="55" t="str">
        <f t="shared" si="4"/>
        <v>Wed</v>
      </c>
      <c r="D305" s="55"/>
      <c r="O305" s="49"/>
    </row>
    <row r="306" spans="1:15" hidden="1" x14ac:dyDescent="0.3">
      <c r="A306" s="49"/>
      <c r="B306" s="54">
        <v>46296</v>
      </c>
      <c r="C306" s="55" t="str">
        <f t="shared" si="4"/>
        <v>Thu</v>
      </c>
      <c r="D306" s="55"/>
      <c r="O306" s="49"/>
    </row>
    <row r="307" spans="1:15" hidden="1" x14ac:dyDescent="0.3">
      <c r="A307" s="49"/>
      <c r="B307" s="54">
        <v>46297</v>
      </c>
      <c r="C307" s="55" t="str">
        <f t="shared" si="4"/>
        <v>Fri</v>
      </c>
      <c r="D307" s="55"/>
      <c r="O307" s="49"/>
    </row>
    <row r="308" spans="1:15" hidden="1" x14ac:dyDescent="0.3">
      <c r="A308" s="49"/>
      <c r="B308" s="54">
        <v>46298</v>
      </c>
      <c r="C308" s="55" t="str">
        <f t="shared" si="4"/>
        <v>Sat</v>
      </c>
      <c r="D308" s="55"/>
      <c r="O308" s="49"/>
    </row>
    <row r="309" spans="1:15" hidden="1" x14ac:dyDescent="0.3">
      <c r="A309" s="49"/>
      <c r="B309" s="54">
        <v>46299</v>
      </c>
      <c r="C309" s="55" t="str">
        <f t="shared" si="4"/>
        <v>Sun</v>
      </c>
      <c r="D309" s="55"/>
      <c r="O309" s="49"/>
    </row>
    <row r="310" spans="1:15" hidden="1" x14ac:dyDescent="0.3">
      <c r="A310" s="49"/>
      <c r="B310" s="54">
        <v>46300</v>
      </c>
      <c r="C310" s="55" t="str">
        <f t="shared" si="4"/>
        <v>Mon</v>
      </c>
      <c r="D310" s="55"/>
      <c r="O310" s="49"/>
    </row>
    <row r="311" spans="1:15" hidden="1" x14ac:dyDescent="0.3">
      <c r="A311" s="49"/>
      <c r="B311" s="54">
        <v>46301</v>
      </c>
      <c r="C311" s="55" t="str">
        <f t="shared" si="4"/>
        <v>Tue</v>
      </c>
      <c r="D311" s="55"/>
      <c r="O311" s="49"/>
    </row>
    <row r="312" spans="1:15" hidden="1" x14ac:dyDescent="0.3">
      <c r="A312" s="49"/>
      <c r="B312" s="54">
        <v>46302</v>
      </c>
      <c r="C312" s="55" t="str">
        <f t="shared" si="4"/>
        <v>Wed</v>
      </c>
      <c r="D312" s="55"/>
      <c r="O312" s="49"/>
    </row>
    <row r="313" spans="1:15" hidden="1" x14ac:dyDescent="0.3">
      <c r="A313" s="49"/>
      <c r="B313" s="54">
        <v>46303</v>
      </c>
      <c r="C313" s="55" t="str">
        <f t="shared" si="4"/>
        <v>Thu</v>
      </c>
      <c r="D313" s="55"/>
      <c r="O313" s="49"/>
    </row>
    <row r="314" spans="1:15" hidden="1" x14ac:dyDescent="0.3">
      <c r="A314" s="49"/>
      <c r="B314" s="54">
        <v>46304</v>
      </c>
      <c r="C314" s="55" t="str">
        <f t="shared" si="4"/>
        <v>Fri</v>
      </c>
      <c r="D314" s="55"/>
      <c r="O314" s="49"/>
    </row>
    <row r="315" spans="1:15" hidden="1" x14ac:dyDescent="0.3">
      <c r="A315" s="49"/>
      <c r="B315" s="54">
        <v>46305</v>
      </c>
      <c r="C315" s="55" t="str">
        <f t="shared" si="4"/>
        <v>Sat</v>
      </c>
      <c r="D315" s="55"/>
      <c r="O315" s="49"/>
    </row>
    <row r="316" spans="1:15" hidden="1" x14ac:dyDescent="0.3">
      <c r="A316" s="49"/>
      <c r="B316" s="54">
        <v>46306</v>
      </c>
      <c r="C316" s="55" t="str">
        <f t="shared" si="4"/>
        <v>Sun</v>
      </c>
      <c r="D316" s="55"/>
      <c r="O316" s="49"/>
    </row>
    <row r="317" spans="1:15" hidden="1" x14ac:dyDescent="0.3">
      <c r="A317" s="49"/>
      <c r="B317" s="54">
        <v>46307</v>
      </c>
      <c r="C317" s="55" t="str">
        <f t="shared" si="4"/>
        <v>Mon</v>
      </c>
      <c r="D317" s="55"/>
      <c r="O317" s="49"/>
    </row>
    <row r="318" spans="1:15" hidden="1" x14ac:dyDescent="0.3">
      <c r="A318" s="49"/>
      <c r="B318" s="54">
        <v>46308</v>
      </c>
      <c r="C318" s="55" t="str">
        <f t="shared" si="4"/>
        <v>Tue</v>
      </c>
      <c r="D318" s="55"/>
      <c r="O318" s="49"/>
    </row>
    <row r="319" spans="1:15" hidden="1" x14ac:dyDescent="0.3">
      <c r="A319" s="49"/>
      <c r="B319" s="54">
        <v>46309</v>
      </c>
      <c r="C319" s="55" t="str">
        <f t="shared" si="4"/>
        <v>Wed</v>
      </c>
      <c r="D319" s="55"/>
      <c r="O319" s="49"/>
    </row>
    <row r="320" spans="1:15" hidden="1" x14ac:dyDescent="0.3">
      <c r="A320" s="49"/>
      <c r="B320" s="54">
        <v>46310</v>
      </c>
      <c r="C320" s="55" t="str">
        <f t="shared" si="4"/>
        <v>Thu</v>
      </c>
      <c r="D320" s="55"/>
      <c r="O320" s="49"/>
    </row>
    <row r="321" spans="1:15" hidden="1" x14ac:dyDescent="0.3">
      <c r="A321" s="49"/>
      <c r="B321" s="54">
        <v>46311</v>
      </c>
      <c r="C321" s="55" t="str">
        <f t="shared" si="4"/>
        <v>Fri</v>
      </c>
      <c r="D321" s="55"/>
      <c r="O321" s="49"/>
    </row>
    <row r="322" spans="1:15" hidden="1" x14ac:dyDescent="0.3">
      <c r="A322" s="49"/>
      <c r="B322" s="54">
        <v>46312</v>
      </c>
      <c r="C322" s="55" t="str">
        <f t="shared" si="4"/>
        <v>Sat</v>
      </c>
      <c r="D322" s="55"/>
      <c r="O322" s="49"/>
    </row>
    <row r="323" spans="1:15" hidden="1" x14ac:dyDescent="0.3">
      <c r="A323" s="49"/>
      <c r="B323" s="54">
        <v>46313</v>
      </c>
      <c r="C323" s="55" t="str">
        <f t="shared" si="4"/>
        <v>Sun</v>
      </c>
      <c r="D323" s="55"/>
      <c r="O323" s="49"/>
    </row>
    <row r="324" spans="1:15" hidden="1" x14ac:dyDescent="0.3">
      <c r="A324" s="49"/>
      <c r="B324" s="54">
        <v>46314</v>
      </c>
      <c r="C324" s="55" t="str">
        <f t="shared" si="4"/>
        <v>Mon</v>
      </c>
      <c r="D324" s="55"/>
      <c r="O324" s="49"/>
    </row>
    <row r="325" spans="1:15" hidden="1" x14ac:dyDescent="0.3">
      <c r="A325" s="49"/>
      <c r="B325" s="54">
        <v>46315</v>
      </c>
      <c r="C325" s="55" t="str">
        <f t="shared" si="4"/>
        <v>Tue</v>
      </c>
      <c r="D325" s="55"/>
      <c r="O325" s="49"/>
    </row>
    <row r="326" spans="1:15" hidden="1" x14ac:dyDescent="0.3">
      <c r="A326" s="49"/>
      <c r="B326" s="54">
        <v>46316</v>
      </c>
      <c r="C326" s="55" t="str">
        <f t="shared" si="4"/>
        <v>Wed</v>
      </c>
      <c r="D326" s="55"/>
      <c r="O326" s="49"/>
    </row>
    <row r="327" spans="1:15" hidden="1" x14ac:dyDescent="0.3">
      <c r="A327" s="49"/>
      <c r="B327" s="54">
        <v>46317</v>
      </c>
      <c r="C327" s="55" t="str">
        <f t="shared" si="4"/>
        <v>Thu</v>
      </c>
      <c r="D327" s="55"/>
      <c r="O327" s="49"/>
    </row>
    <row r="328" spans="1:15" hidden="1" x14ac:dyDescent="0.3">
      <c r="A328" s="49"/>
      <c r="B328" s="54">
        <v>46318</v>
      </c>
      <c r="C328" s="55" t="str">
        <f t="shared" si="4"/>
        <v>Fri</v>
      </c>
      <c r="D328" s="55"/>
      <c r="O328" s="49"/>
    </row>
    <row r="329" spans="1:15" hidden="1" x14ac:dyDescent="0.3">
      <c r="A329" s="49"/>
      <c r="B329" s="54">
        <v>46319</v>
      </c>
      <c r="C329" s="55" t="str">
        <f t="shared" si="4"/>
        <v>Sat</v>
      </c>
      <c r="D329" s="55"/>
      <c r="O329" s="49"/>
    </row>
    <row r="330" spans="1:15" hidden="1" x14ac:dyDescent="0.3">
      <c r="A330" s="49"/>
      <c r="B330" s="54">
        <v>46320</v>
      </c>
      <c r="C330" s="55" t="str">
        <f t="shared" si="4"/>
        <v>Sun</v>
      </c>
      <c r="D330" s="55"/>
      <c r="O330" s="49"/>
    </row>
    <row r="331" spans="1:15" hidden="1" x14ac:dyDescent="0.3">
      <c r="A331" s="49"/>
      <c r="B331" s="54">
        <v>46321</v>
      </c>
      <c r="C331" s="55" t="str">
        <f t="shared" si="4"/>
        <v>Mon</v>
      </c>
      <c r="D331" s="55"/>
      <c r="O331" s="49"/>
    </row>
    <row r="332" spans="1:15" hidden="1" x14ac:dyDescent="0.3">
      <c r="A332" s="49"/>
      <c r="B332" s="54">
        <v>46322</v>
      </c>
      <c r="C332" s="55" t="str">
        <f t="shared" si="4"/>
        <v>Tue</v>
      </c>
      <c r="D332" s="55"/>
      <c r="O332" s="49"/>
    </row>
    <row r="333" spans="1:15" hidden="1" x14ac:dyDescent="0.3">
      <c r="A333" s="49"/>
      <c r="B333" s="54">
        <v>46323</v>
      </c>
      <c r="C333" s="55" t="str">
        <f t="shared" si="4"/>
        <v>Wed</v>
      </c>
      <c r="D333" s="55"/>
      <c r="O333" s="49"/>
    </row>
    <row r="334" spans="1:15" hidden="1" x14ac:dyDescent="0.3">
      <c r="A334" s="49"/>
      <c r="B334" s="54">
        <v>46324</v>
      </c>
      <c r="C334" s="55" t="str">
        <f t="shared" si="4"/>
        <v>Thu</v>
      </c>
      <c r="D334" s="55"/>
      <c r="O334" s="49"/>
    </row>
    <row r="335" spans="1:15" hidden="1" x14ac:dyDescent="0.3">
      <c r="A335" s="49"/>
      <c r="B335" s="54">
        <v>46325</v>
      </c>
      <c r="C335" s="55" t="str">
        <f t="shared" si="4"/>
        <v>Fri</v>
      </c>
      <c r="D335" s="55"/>
      <c r="O335" s="49"/>
    </row>
    <row r="336" spans="1:15" hidden="1" x14ac:dyDescent="0.3">
      <c r="A336" s="49"/>
      <c r="B336" s="54">
        <v>46326</v>
      </c>
      <c r="C336" s="55" t="str">
        <f t="shared" si="4"/>
        <v>Sat</v>
      </c>
      <c r="D336" s="55"/>
      <c r="O336" s="49"/>
    </row>
    <row r="337" spans="1:15" hidden="1" x14ac:dyDescent="0.3">
      <c r="A337" s="49"/>
      <c r="B337" s="54">
        <v>46327</v>
      </c>
      <c r="C337" s="55" t="str">
        <f t="shared" si="4"/>
        <v>Sun</v>
      </c>
      <c r="D337" s="55"/>
      <c r="O337" s="49"/>
    </row>
    <row r="338" spans="1:15" hidden="1" x14ac:dyDescent="0.3">
      <c r="A338" s="49"/>
      <c r="B338" s="54">
        <v>46328</v>
      </c>
      <c r="C338" s="55" t="str">
        <f t="shared" si="4"/>
        <v>Mon</v>
      </c>
      <c r="D338" s="55"/>
      <c r="O338" s="49"/>
    </row>
    <row r="339" spans="1:15" hidden="1" x14ac:dyDescent="0.3">
      <c r="A339" s="49"/>
      <c r="B339" s="54">
        <v>46329</v>
      </c>
      <c r="C339" s="55" t="str">
        <f t="shared" si="4"/>
        <v>Tue</v>
      </c>
      <c r="D339" s="55"/>
      <c r="O339" s="49"/>
    </row>
    <row r="340" spans="1:15" hidden="1" x14ac:dyDescent="0.3">
      <c r="A340" s="49"/>
      <c r="B340" s="54">
        <v>46330</v>
      </c>
      <c r="C340" s="55" t="str">
        <f t="shared" si="4"/>
        <v>Wed</v>
      </c>
      <c r="D340" s="55"/>
      <c r="O340" s="49"/>
    </row>
    <row r="341" spans="1:15" hidden="1" x14ac:dyDescent="0.3">
      <c r="A341" s="49"/>
      <c r="B341" s="54">
        <v>46331</v>
      </c>
      <c r="C341" s="55" t="str">
        <f t="shared" si="4"/>
        <v>Thu</v>
      </c>
      <c r="D341" s="55"/>
      <c r="O341" s="49"/>
    </row>
    <row r="342" spans="1:15" hidden="1" x14ac:dyDescent="0.3">
      <c r="A342" s="49"/>
      <c r="B342" s="54">
        <v>46332</v>
      </c>
      <c r="C342" s="55" t="str">
        <f t="shared" si="4"/>
        <v>Fri</v>
      </c>
      <c r="D342" s="55"/>
      <c r="O342" s="49"/>
    </row>
    <row r="343" spans="1:15" hidden="1" x14ac:dyDescent="0.3">
      <c r="A343" s="49"/>
      <c r="B343" s="54">
        <v>46333</v>
      </c>
      <c r="C343" s="55" t="str">
        <f t="shared" si="4"/>
        <v>Sat</v>
      </c>
      <c r="D343" s="55"/>
      <c r="O343" s="49"/>
    </row>
    <row r="344" spans="1:15" hidden="1" x14ac:dyDescent="0.3">
      <c r="A344" s="49"/>
      <c r="B344" s="54">
        <v>46334</v>
      </c>
      <c r="C344" s="55" t="str">
        <f t="shared" si="4"/>
        <v>Sun</v>
      </c>
      <c r="D344" s="55"/>
      <c r="O344" s="49"/>
    </row>
    <row r="345" spans="1:15" hidden="1" x14ac:dyDescent="0.3">
      <c r="A345" s="49"/>
      <c r="B345" s="54">
        <v>46335</v>
      </c>
      <c r="C345" s="55" t="str">
        <f t="shared" si="4"/>
        <v>Mon</v>
      </c>
      <c r="D345" s="55"/>
      <c r="O345" s="49"/>
    </row>
    <row r="346" spans="1:15" hidden="1" x14ac:dyDescent="0.3">
      <c r="A346" s="49"/>
      <c r="B346" s="54">
        <v>46336</v>
      </c>
      <c r="C346" s="55" t="str">
        <f t="shared" si="4"/>
        <v>Tue</v>
      </c>
      <c r="D346" s="55"/>
      <c r="O346" s="49"/>
    </row>
    <row r="347" spans="1:15" hidden="1" x14ac:dyDescent="0.3">
      <c r="A347" s="49"/>
      <c r="B347" s="54">
        <v>46337</v>
      </c>
      <c r="C347" s="55" t="str">
        <f t="shared" si="4"/>
        <v>Wed</v>
      </c>
      <c r="D347" s="55"/>
      <c r="O347" s="49"/>
    </row>
    <row r="348" spans="1:15" hidden="1" x14ac:dyDescent="0.3">
      <c r="A348" s="49"/>
      <c r="B348" s="54">
        <v>46338</v>
      </c>
      <c r="C348" s="55" t="str">
        <f t="shared" si="4"/>
        <v>Thu</v>
      </c>
      <c r="D348" s="55"/>
      <c r="O348" s="49"/>
    </row>
    <row r="349" spans="1:15" hidden="1" x14ac:dyDescent="0.3">
      <c r="A349" s="49"/>
      <c r="B349" s="54">
        <v>46339</v>
      </c>
      <c r="C349" s="55" t="str">
        <f t="shared" si="4"/>
        <v>Fri</v>
      </c>
      <c r="D349" s="55"/>
      <c r="O349" s="49"/>
    </row>
    <row r="350" spans="1:15" hidden="1" x14ac:dyDescent="0.3">
      <c r="A350" s="49"/>
      <c r="B350" s="54">
        <v>46340</v>
      </c>
      <c r="C350" s="55" t="str">
        <f t="shared" si="4"/>
        <v>Sat</v>
      </c>
      <c r="D350" s="55"/>
      <c r="O350" s="49"/>
    </row>
    <row r="351" spans="1:15" hidden="1" x14ac:dyDescent="0.3">
      <c r="A351" s="49"/>
      <c r="B351" s="54">
        <v>46341</v>
      </c>
      <c r="C351" s="55" t="str">
        <f t="shared" si="4"/>
        <v>Sun</v>
      </c>
      <c r="D351" s="55"/>
      <c r="O351" s="49"/>
    </row>
    <row r="352" spans="1:15" hidden="1" x14ac:dyDescent="0.3">
      <c r="A352" s="49"/>
      <c r="B352" s="54">
        <v>46342</v>
      </c>
      <c r="C352" s="55" t="str">
        <f t="shared" si="4"/>
        <v>Mon</v>
      </c>
      <c r="D352" s="55"/>
      <c r="O352" s="49"/>
    </row>
    <row r="353" spans="1:15" hidden="1" x14ac:dyDescent="0.3">
      <c r="A353" s="49"/>
      <c r="B353" s="54">
        <v>46343</v>
      </c>
      <c r="C353" s="55" t="str">
        <f t="shared" si="4"/>
        <v>Tue</v>
      </c>
      <c r="D353" s="55"/>
      <c r="O353" s="49"/>
    </row>
    <row r="354" spans="1:15" hidden="1" x14ac:dyDescent="0.3">
      <c r="A354" s="49"/>
      <c r="B354" s="54">
        <v>46344</v>
      </c>
      <c r="C354" s="55" t="str">
        <f t="shared" ref="C354:C417" si="5">TEXT(B354,"ddd")</f>
        <v>Wed</v>
      </c>
      <c r="D354" s="55"/>
      <c r="O354" s="49"/>
    </row>
    <row r="355" spans="1:15" hidden="1" x14ac:dyDescent="0.3">
      <c r="A355" s="49"/>
      <c r="B355" s="54">
        <v>46345</v>
      </c>
      <c r="C355" s="55" t="str">
        <f t="shared" si="5"/>
        <v>Thu</v>
      </c>
      <c r="D355" s="55"/>
      <c r="O355" s="49"/>
    </row>
    <row r="356" spans="1:15" hidden="1" x14ac:dyDescent="0.3">
      <c r="A356" s="49"/>
      <c r="B356" s="54">
        <v>46346</v>
      </c>
      <c r="C356" s="55" t="str">
        <f t="shared" si="5"/>
        <v>Fri</v>
      </c>
      <c r="D356" s="55"/>
      <c r="O356" s="49"/>
    </row>
    <row r="357" spans="1:15" hidden="1" x14ac:dyDescent="0.3">
      <c r="A357" s="49"/>
      <c r="B357" s="54">
        <v>46347</v>
      </c>
      <c r="C357" s="55" t="str">
        <f t="shared" si="5"/>
        <v>Sat</v>
      </c>
      <c r="D357" s="55"/>
      <c r="O357" s="49"/>
    </row>
    <row r="358" spans="1:15" hidden="1" x14ac:dyDescent="0.3">
      <c r="A358" s="49"/>
      <c r="B358" s="54">
        <v>46348</v>
      </c>
      <c r="C358" s="55" t="str">
        <f t="shared" si="5"/>
        <v>Sun</v>
      </c>
      <c r="D358" s="55"/>
      <c r="O358" s="49"/>
    </row>
    <row r="359" spans="1:15" hidden="1" x14ac:dyDescent="0.3">
      <c r="A359" s="49"/>
      <c r="B359" s="54">
        <v>46349</v>
      </c>
      <c r="C359" s="55" t="str">
        <f t="shared" si="5"/>
        <v>Mon</v>
      </c>
      <c r="D359" s="55"/>
      <c r="O359" s="49"/>
    </row>
    <row r="360" spans="1:15" hidden="1" x14ac:dyDescent="0.3">
      <c r="A360" s="49"/>
      <c r="B360" s="54">
        <v>46350</v>
      </c>
      <c r="C360" s="55" t="str">
        <f t="shared" si="5"/>
        <v>Tue</v>
      </c>
      <c r="D360" s="55"/>
      <c r="O360" s="49"/>
    </row>
    <row r="361" spans="1:15" hidden="1" x14ac:dyDescent="0.3">
      <c r="A361" s="49"/>
      <c r="B361" s="54">
        <v>46351</v>
      </c>
      <c r="C361" s="55" t="str">
        <f t="shared" si="5"/>
        <v>Wed</v>
      </c>
      <c r="D361" s="55"/>
      <c r="O361" s="49"/>
    </row>
    <row r="362" spans="1:15" hidden="1" x14ac:dyDescent="0.3">
      <c r="A362" s="49"/>
      <c r="B362" s="54">
        <v>46352</v>
      </c>
      <c r="C362" s="55" t="str">
        <f t="shared" si="5"/>
        <v>Thu</v>
      </c>
      <c r="D362" s="55"/>
      <c r="O362" s="49"/>
    </row>
    <row r="363" spans="1:15" hidden="1" x14ac:dyDescent="0.3">
      <c r="A363" s="49"/>
      <c r="B363" s="54">
        <v>46353</v>
      </c>
      <c r="C363" s="55" t="str">
        <f t="shared" si="5"/>
        <v>Fri</v>
      </c>
      <c r="D363" s="55"/>
      <c r="O363" s="49"/>
    </row>
    <row r="364" spans="1:15" hidden="1" x14ac:dyDescent="0.3">
      <c r="A364" s="49"/>
      <c r="B364" s="54">
        <v>46354</v>
      </c>
      <c r="C364" s="55" t="str">
        <f t="shared" si="5"/>
        <v>Sat</v>
      </c>
      <c r="D364" s="55"/>
      <c r="O364" s="49"/>
    </row>
    <row r="365" spans="1:15" hidden="1" x14ac:dyDescent="0.3">
      <c r="A365" s="49"/>
      <c r="B365" s="54">
        <v>46355</v>
      </c>
      <c r="C365" s="55" t="str">
        <f t="shared" si="5"/>
        <v>Sun</v>
      </c>
      <c r="D365" s="55"/>
      <c r="O365" s="49"/>
    </row>
    <row r="366" spans="1:15" hidden="1" x14ac:dyDescent="0.3">
      <c r="A366" s="49"/>
      <c r="B366" s="54">
        <v>46356</v>
      </c>
      <c r="C366" s="55" t="str">
        <f t="shared" si="5"/>
        <v>Mon</v>
      </c>
      <c r="D366" s="55"/>
      <c r="O366" s="49"/>
    </row>
    <row r="367" spans="1:15" hidden="1" x14ac:dyDescent="0.3">
      <c r="A367" s="49"/>
      <c r="B367" s="54">
        <v>46357</v>
      </c>
      <c r="C367" s="55" t="str">
        <f t="shared" si="5"/>
        <v>Tue</v>
      </c>
      <c r="D367" s="55"/>
      <c r="O367" s="49"/>
    </row>
    <row r="368" spans="1:15" hidden="1" x14ac:dyDescent="0.3">
      <c r="A368" s="49"/>
      <c r="B368" s="54">
        <v>46358</v>
      </c>
      <c r="C368" s="55" t="str">
        <f t="shared" si="5"/>
        <v>Wed</v>
      </c>
      <c r="D368" s="55"/>
      <c r="O368" s="49"/>
    </row>
    <row r="369" spans="1:15" hidden="1" x14ac:dyDescent="0.3">
      <c r="A369" s="49"/>
      <c r="B369" s="54">
        <v>46359</v>
      </c>
      <c r="C369" s="55" t="str">
        <f t="shared" si="5"/>
        <v>Thu</v>
      </c>
      <c r="D369" s="55"/>
      <c r="O369" s="49"/>
    </row>
    <row r="370" spans="1:15" hidden="1" x14ac:dyDescent="0.3">
      <c r="A370" s="49"/>
      <c r="B370" s="54">
        <v>46360</v>
      </c>
      <c r="C370" s="55" t="str">
        <f t="shared" si="5"/>
        <v>Fri</v>
      </c>
      <c r="D370" s="55"/>
      <c r="O370" s="49"/>
    </row>
    <row r="371" spans="1:15" hidden="1" x14ac:dyDescent="0.3">
      <c r="A371" s="49"/>
      <c r="B371" s="54">
        <v>46361</v>
      </c>
      <c r="C371" s="55" t="str">
        <f t="shared" si="5"/>
        <v>Sat</v>
      </c>
      <c r="D371" s="55"/>
      <c r="O371" s="49"/>
    </row>
    <row r="372" spans="1:15" hidden="1" x14ac:dyDescent="0.3">
      <c r="A372" s="49"/>
      <c r="B372" s="54">
        <v>46362</v>
      </c>
      <c r="C372" s="55" t="str">
        <f t="shared" si="5"/>
        <v>Sun</v>
      </c>
      <c r="D372" s="55"/>
      <c r="O372" s="49"/>
    </row>
    <row r="373" spans="1:15" hidden="1" x14ac:dyDescent="0.3">
      <c r="A373" s="49"/>
      <c r="B373" s="54">
        <v>46363</v>
      </c>
      <c r="C373" s="55" t="str">
        <f t="shared" si="5"/>
        <v>Mon</v>
      </c>
      <c r="D373" s="55"/>
      <c r="O373" s="49"/>
    </row>
    <row r="374" spans="1:15" hidden="1" x14ac:dyDescent="0.3">
      <c r="A374" s="49"/>
      <c r="B374" s="54">
        <v>46364</v>
      </c>
      <c r="C374" s="55" t="str">
        <f t="shared" si="5"/>
        <v>Tue</v>
      </c>
      <c r="D374" s="55"/>
      <c r="O374" s="49"/>
    </row>
    <row r="375" spans="1:15" hidden="1" x14ac:dyDescent="0.3">
      <c r="A375" s="49"/>
      <c r="B375" s="54">
        <v>46365</v>
      </c>
      <c r="C375" s="55" t="str">
        <f t="shared" si="5"/>
        <v>Wed</v>
      </c>
      <c r="D375" s="55"/>
      <c r="O375" s="49"/>
    </row>
    <row r="376" spans="1:15" hidden="1" x14ac:dyDescent="0.3">
      <c r="A376" s="49"/>
      <c r="B376" s="54">
        <v>46366</v>
      </c>
      <c r="C376" s="55" t="str">
        <f t="shared" si="5"/>
        <v>Thu</v>
      </c>
      <c r="D376" s="55"/>
      <c r="O376" s="49"/>
    </row>
    <row r="377" spans="1:15" hidden="1" x14ac:dyDescent="0.3">
      <c r="A377" s="49"/>
      <c r="B377" s="54">
        <v>46367</v>
      </c>
      <c r="C377" s="55" t="str">
        <f t="shared" si="5"/>
        <v>Fri</v>
      </c>
      <c r="D377" s="55"/>
      <c r="O377" s="49"/>
    </row>
    <row r="378" spans="1:15" hidden="1" x14ac:dyDescent="0.3">
      <c r="A378" s="49"/>
      <c r="B378" s="54">
        <v>46368</v>
      </c>
      <c r="C378" s="55" t="str">
        <f t="shared" si="5"/>
        <v>Sat</v>
      </c>
      <c r="D378" s="55"/>
      <c r="O378" s="49"/>
    </row>
    <row r="379" spans="1:15" hidden="1" x14ac:dyDescent="0.3">
      <c r="A379" s="49"/>
      <c r="B379" s="54">
        <v>46369</v>
      </c>
      <c r="C379" s="55" t="str">
        <f t="shared" si="5"/>
        <v>Sun</v>
      </c>
      <c r="D379" s="55"/>
      <c r="O379" s="49"/>
    </row>
    <row r="380" spans="1:15" hidden="1" x14ac:dyDescent="0.3">
      <c r="A380" s="49"/>
      <c r="B380" s="54">
        <v>46370</v>
      </c>
      <c r="C380" s="55" t="str">
        <f t="shared" si="5"/>
        <v>Mon</v>
      </c>
      <c r="D380" s="55"/>
      <c r="O380" s="49"/>
    </row>
    <row r="381" spans="1:15" hidden="1" x14ac:dyDescent="0.3">
      <c r="A381" s="49"/>
      <c r="B381" s="54">
        <v>46371</v>
      </c>
      <c r="C381" s="55" t="str">
        <f t="shared" si="5"/>
        <v>Tue</v>
      </c>
      <c r="D381" s="55"/>
      <c r="O381" s="49"/>
    </row>
    <row r="382" spans="1:15" hidden="1" x14ac:dyDescent="0.3">
      <c r="A382" s="49"/>
      <c r="B382" s="54">
        <v>46372</v>
      </c>
      <c r="C382" s="55" t="str">
        <f t="shared" si="5"/>
        <v>Wed</v>
      </c>
      <c r="D382" s="55"/>
      <c r="O382" s="49"/>
    </row>
    <row r="383" spans="1:15" hidden="1" x14ac:dyDescent="0.3">
      <c r="A383" s="49"/>
      <c r="B383" s="54">
        <v>46373</v>
      </c>
      <c r="C383" s="55" t="str">
        <f t="shared" si="5"/>
        <v>Thu</v>
      </c>
      <c r="D383" s="55"/>
      <c r="O383" s="49"/>
    </row>
    <row r="384" spans="1:15" hidden="1" x14ac:dyDescent="0.3">
      <c r="A384" s="49"/>
      <c r="B384" s="54">
        <v>46374</v>
      </c>
      <c r="C384" s="55" t="str">
        <f t="shared" si="5"/>
        <v>Fri</v>
      </c>
      <c r="D384" s="55"/>
      <c r="O384" s="49"/>
    </row>
    <row r="385" spans="1:15" hidden="1" x14ac:dyDescent="0.3">
      <c r="A385" s="49"/>
      <c r="B385" s="54">
        <v>46375</v>
      </c>
      <c r="C385" s="55" t="str">
        <f t="shared" si="5"/>
        <v>Sat</v>
      </c>
      <c r="D385" s="55"/>
      <c r="O385" s="49"/>
    </row>
    <row r="386" spans="1:15" hidden="1" x14ac:dyDescent="0.3">
      <c r="A386" s="49"/>
      <c r="B386" s="54">
        <v>46376</v>
      </c>
      <c r="C386" s="55" t="str">
        <f t="shared" si="5"/>
        <v>Sun</v>
      </c>
      <c r="D386" s="55"/>
      <c r="O386" s="49"/>
    </row>
    <row r="387" spans="1:15" hidden="1" x14ac:dyDescent="0.3">
      <c r="A387" s="49"/>
      <c r="B387" s="54">
        <v>46377</v>
      </c>
      <c r="C387" s="55" t="str">
        <f t="shared" si="5"/>
        <v>Mon</v>
      </c>
      <c r="D387" s="55"/>
      <c r="O387" s="49"/>
    </row>
    <row r="388" spans="1:15" hidden="1" x14ac:dyDescent="0.3">
      <c r="A388" s="49"/>
      <c r="B388" s="54">
        <v>46378</v>
      </c>
      <c r="C388" s="55" t="str">
        <f t="shared" si="5"/>
        <v>Tue</v>
      </c>
      <c r="D388" s="55"/>
      <c r="O388" s="49"/>
    </row>
    <row r="389" spans="1:15" hidden="1" x14ac:dyDescent="0.3">
      <c r="A389" s="49"/>
      <c r="B389" s="54">
        <v>46379</v>
      </c>
      <c r="C389" s="55" t="str">
        <f t="shared" si="5"/>
        <v>Wed</v>
      </c>
      <c r="D389" s="55"/>
      <c r="O389" s="49"/>
    </row>
    <row r="390" spans="1:15" hidden="1" x14ac:dyDescent="0.3">
      <c r="A390" s="49"/>
      <c r="B390" s="54">
        <v>46380</v>
      </c>
      <c r="C390" s="55" t="str">
        <f t="shared" si="5"/>
        <v>Thu</v>
      </c>
      <c r="D390" s="55"/>
      <c r="O390" s="49"/>
    </row>
    <row r="391" spans="1:15" hidden="1" x14ac:dyDescent="0.3">
      <c r="A391" s="49"/>
      <c r="B391" s="54">
        <v>46381</v>
      </c>
      <c r="C391" s="55" t="str">
        <f t="shared" si="5"/>
        <v>Fri</v>
      </c>
      <c r="D391" s="55"/>
      <c r="O391" s="49"/>
    </row>
    <row r="392" spans="1:15" hidden="1" x14ac:dyDescent="0.3">
      <c r="A392" s="49"/>
      <c r="B392" s="54">
        <v>46382</v>
      </c>
      <c r="C392" s="55" t="str">
        <f t="shared" si="5"/>
        <v>Sat</v>
      </c>
      <c r="D392" s="55"/>
      <c r="O392" s="49"/>
    </row>
    <row r="393" spans="1:15" hidden="1" x14ac:dyDescent="0.3">
      <c r="A393" s="49"/>
      <c r="B393" s="54">
        <v>46383</v>
      </c>
      <c r="C393" s="55" t="str">
        <f t="shared" si="5"/>
        <v>Sun</v>
      </c>
      <c r="D393" s="55"/>
      <c r="O393" s="49"/>
    </row>
    <row r="394" spans="1:15" hidden="1" x14ac:dyDescent="0.3">
      <c r="A394" s="49"/>
      <c r="B394" s="54">
        <v>46384</v>
      </c>
      <c r="C394" s="55" t="str">
        <f t="shared" si="5"/>
        <v>Mon</v>
      </c>
      <c r="D394" s="55"/>
      <c r="O394" s="49"/>
    </row>
    <row r="395" spans="1:15" hidden="1" x14ac:dyDescent="0.3">
      <c r="A395" s="49"/>
      <c r="B395" s="54">
        <v>46385</v>
      </c>
      <c r="C395" s="55" t="str">
        <f t="shared" si="5"/>
        <v>Tue</v>
      </c>
      <c r="D395" s="55"/>
      <c r="O395" s="49"/>
    </row>
    <row r="396" spans="1:15" hidden="1" x14ac:dyDescent="0.3">
      <c r="A396" s="49"/>
      <c r="B396" s="54">
        <v>46386</v>
      </c>
      <c r="C396" s="55" t="str">
        <f t="shared" si="5"/>
        <v>Wed</v>
      </c>
      <c r="D396" s="55"/>
      <c r="O396" s="49"/>
    </row>
    <row r="397" spans="1:15" hidden="1" x14ac:dyDescent="0.3">
      <c r="A397" s="49"/>
      <c r="B397" s="54">
        <v>46387</v>
      </c>
      <c r="C397" s="55" t="str">
        <f t="shared" si="5"/>
        <v>Thu</v>
      </c>
      <c r="D397" s="55"/>
      <c r="O397" s="49"/>
    </row>
    <row r="398" spans="1:15" hidden="1" x14ac:dyDescent="0.3">
      <c r="A398" s="49"/>
      <c r="B398" s="54">
        <v>46388</v>
      </c>
      <c r="C398" s="55" t="str">
        <f t="shared" si="5"/>
        <v>Fri</v>
      </c>
      <c r="D398" s="55"/>
      <c r="O398" s="49"/>
    </row>
    <row r="399" spans="1:15" hidden="1" x14ac:dyDescent="0.3">
      <c r="A399" s="49"/>
      <c r="B399" s="54">
        <v>46389</v>
      </c>
      <c r="C399" s="55" t="str">
        <f t="shared" si="5"/>
        <v>Sat</v>
      </c>
      <c r="D399" s="55"/>
      <c r="O399" s="49"/>
    </row>
    <row r="400" spans="1:15" hidden="1" x14ac:dyDescent="0.3">
      <c r="A400" s="49"/>
      <c r="B400" s="54">
        <v>46390</v>
      </c>
      <c r="C400" s="55" t="str">
        <f t="shared" si="5"/>
        <v>Sun</v>
      </c>
      <c r="D400" s="55"/>
      <c r="O400" s="49"/>
    </row>
    <row r="401" spans="1:15" hidden="1" x14ac:dyDescent="0.3">
      <c r="A401" s="49"/>
      <c r="B401" s="54">
        <v>46391</v>
      </c>
      <c r="C401" s="55" t="str">
        <f t="shared" si="5"/>
        <v>Mon</v>
      </c>
      <c r="D401" s="55"/>
      <c r="O401" s="49"/>
    </row>
    <row r="402" spans="1:15" hidden="1" x14ac:dyDescent="0.3">
      <c r="A402" s="49"/>
      <c r="B402" s="54">
        <v>46392</v>
      </c>
      <c r="C402" s="55" t="str">
        <f t="shared" si="5"/>
        <v>Tue</v>
      </c>
      <c r="D402" s="55"/>
      <c r="O402" s="49"/>
    </row>
    <row r="403" spans="1:15" hidden="1" x14ac:dyDescent="0.3">
      <c r="A403" s="49"/>
      <c r="B403" s="54">
        <v>46393</v>
      </c>
      <c r="C403" s="55" t="str">
        <f t="shared" si="5"/>
        <v>Wed</v>
      </c>
      <c r="D403" s="55"/>
      <c r="O403" s="49"/>
    </row>
    <row r="404" spans="1:15" hidden="1" x14ac:dyDescent="0.3">
      <c r="A404" s="49"/>
      <c r="B404" s="54">
        <v>46394</v>
      </c>
      <c r="C404" s="55" t="str">
        <f t="shared" si="5"/>
        <v>Thu</v>
      </c>
      <c r="D404" s="55"/>
      <c r="O404" s="49"/>
    </row>
    <row r="405" spans="1:15" hidden="1" x14ac:dyDescent="0.3">
      <c r="A405" s="49"/>
      <c r="B405" s="54">
        <v>46395</v>
      </c>
      <c r="C405" s="55" t="str">
        <f t="shared" si="5"/>
        <v>Fri</v>
      </c>
      <c r="D405" s="55"/>
      <c r="O405" s="49"/>
    </row>
    <row r="406" spans="1:15" hidden="1" x14ac:dyDescent="0.3">
      <c r="A406" s="49"/>
      <c r="B406" s="54">
        <v>46396</v>
      </c>
      <c r="C406" s="55" t="str">
        <f t="shared" si="5"/>
        <v>Sat</v>
      </c>
      <c r="D406" s="55"/>
      <c r="O406" s="49"/>
    </row>
    <row r="407" spans="1:15" hidden="1" x14ac:dyDescent="0.3">
      <c r="A407" s="49"/>
      <c r="B407" s="54">
        <v>46397</v>
      </c>
      <c r="C407" s="55" t="str">
        <f t="shared" si="5"/>
        <v>Sun</v>
      </c>
      <c r="D407" s="55"/>
      <c r="O407" s="49"/>
    </row>
    <row r="408" spans="1:15" hidden="1" x14ac:dyDescent="0.3">
      <c r="A408" s="49"/>
      <c r="B408" s="54">
        <v>46398</v>
      </c>
      <c r="C408" s="55" t="str">
        <f t="shared" si="5"/>
        <v>Mon</v>
      </c>
      <c r="D408" s="55"/>
      <c r="O408" s="49"/>
    </row>
    <row r="409" spans="1:15" hidden="1" x14ac:dyDescent="0.3">
      <c r="A409" s="49"/>
      <c r="B409" s="54">
        <v>46399</v>
      </c>
      <c r="C409" s="55" t="str">
        <f t="shared" si="5"/>
        <v>Tue</v>
      </c>
      <c r="D409" s="55"/>
      <c r="O409" s="49"/>
    </row>
    <row r="410" spans="1:15" hidden="1" x14ac:dyDescent="0.3">
      <c r="A410" s="49"/>
      <c r="B410" s="54">
        <v>46400</v>
      </c>
      <c r="C410" s="55" t="str">
        <f t="shared" si="5"/>
        <v>Wed</v>
      </c>
      <c r="D410" s="55"/>
      <c r="O410" s="49"/>
    </row>
    <row r="411" spans="1:15" hidden="1" x14ac:dyDescent="0.3">
      <c r="A411" s="49"/>
      <c r="B411" s="54">
        <v>46401</v>
      </c>
      <c r="C411" s="55" t="str">
        <f t="shared" si="5"/>
        <v>Thu</v>
      </c>
      <c r="D411" s="55"/>
      <c r="O411" s="49"/>
    </row>
    <row r="412" spans="1:15" hidden="1" x14ac:dyDescent="0.3">
      <c r="A412" s="49"/>
      <c r="B412" s="54">
        <v>46402</v>
      </c>
      <c r="C412" s="55" t="str">
        <f t="shared" si="5"/>
        <v>Fri</v>
      </c>
      <c r="D412" s="55"/>
      <c r="O412" s="49"/>
    </row>
    <row r="413" spans="1:15" hidden="1" x14ac:dyDescent="0.3">
      <c r="A413" s="49"/>
      <c r="B413" s="54">
        <v>46403</v>
      </c>
      <c r="C413" s="55" t="str">
        <f t="shared" si="5"/>
        <v>Sat</v>
      </c>
      <c r="D413" s="55"/>
      <c r="O413" s="49"/>
    </row>
    <row r="414" spans="1:15" hidden="1" x14ac:dyDescent="0.3">
      <c r="A414" s="49"/>
      <c r="B414" s="54">
        <v>46404</v>
      </c>
      <c r="C414" s="55" t="str">
        <f t="shared" si="5"/>
        <v>Sun</v>
      </c>
      <c r="D414" s="55"/>
      <c r="O414" s="49"/>
    </row>
    <row r="415" spans="1:15" hidden="1" x14ac:dyDescent="0.3">
      <c r="A415" s="49"/>
      <c r="B415" s="54">
        <v>46405</v>
      </c>
      <c r="C415" s="55" t="str">
        <f t="shared" si="5"/>
        <v>Mon</v>
      </c>
      <c r="D415" s="55"/>
      <c r="O415" s="49"/>
    </row>
    <row r="416" spans="1:15" hidden="1" x14ac:dyDescent="0.3">
      <c r="A416" s="49"/>
      <c r="B416" s="54">
        <v>46406</v>
      </c>
      <c r="C416" s="55" t="str">
        <f t="shared" si="5"/>
        <v>Tue</v>
      </c>
      <c r="D416" s="55"/>
      <c r="O416" s="49"/>
    </row>
    <row r="417" spans="1:15" hidden="1" x14ac:dyDescent="0.3">
      <c r="A417" s="49"/>
      <c r="B417" s="54">
        <v>46407</v>
      </c>
      <c r="C417" s="55" t="str">
        <f t="shared" si="5"/>
        <v>Wed</v>
      </c>
      <c r="D417" s="55"/>
      <c r="O417" s="49"/>
    </row>
    <row r="418" spans="1:15" hidden="1" x14ac:dyDescent="0.3">
      <c r="A418" s="49"/>
      <c r="B418" s="54">
        <v>46408</v>
      </c>
      <c r="C418" s="55" t="str">
        <f t="shared" ref="C418:C481" si="6">TEXT(B418,"ddd")</f>
        <v>Thu</v>
      </c>
      <c r="D418" s="55"/>
      <c r="O418" s="49"/>
    </row>
    <row r="419" spans="1:15" hidden="1" x14ac:dyDescent="0.3">
      <c r="A419" s="49"/>
      <c r="B419" s="54">
        <v>46409</v>
      </c>
      <c r="C419" s="55" t="str">
        <f t="shared" si="6"/>
        <v>Fri</v>
      </c>
      <c r="D419" s="55"/>
      <c r="O419" s="49"/>
    </row>
    <row r="420" spans="1:15" hidden="1" x14ac:dyDescent="0.3">
      <c r="A420" s="49"/>
      <c r="B420" s="54">
        <v>46410</v>
      </c>
      <c r="C420" s="55" t="str">
        <f t="shared" si="6"/>
        <v>Sat</v>
      </c>
      <c r="D420" s="55"/>
      <c r="O420" s="49"/>
    </row>
    <row r="421" spans="1:15" hidden="1" x14ac:dyDescent="0.3">
      <c r="A421" s="49"/>
      <c r="B421" s="54">
        <v>46411</v>
      </c>
      <c r="C421" s="55" t="str">
        <f t="shared" si="6"/>
        <v>Sun</v>
      </c>
      <c r="D421" s="55"/>
      <c r="O421" s="49"/>
    </row>
    <row r="422" spans="1:15" hidden="1" x14ac:dyDescent="0.3">
      <c r="A422" s="49"/>
      <c r="B422" s="54">
        <v>46412</v>
      </c>
      <c r="C422" s="55" t="str">
        <f t="shared" si="6"/>
        <v>Mon</v>
      </c>
      <c r="D422" s="55"/>
      <c r="O422" s="49"/>
    </row>
    <row r="423" spans="1:15" hidden="1" x14ac:dyDescent="0.3">
      <c r="A423" s="49"/>
      <c r="B423" s="54">
        <v>46413</v>
      </c>
      <c r="C423" s="55" t="str">
        <f t="shared" si="6"/>
        <v>Tue</v>
      </c>
      <c r="D423" s="55"/>
      <c r="O423" s="49"/>
    </row>
    <row r="424" spans="1:15" hidden="1" x14ac:dyDescent="0.3">
      <c r="A424" s="49"/>
      <c r="B424" s="54">
        <v>46414</v>
      </c>
      <c r="C424" s="55" t="str">
        <f t="shared" si="6"/>
        <v>Wed</v>
      </c>
      <c r="D424" s="55"/>
      <c r="O424" s="49"/>
    </row>
    <row r="425" spans="1:15" hidden="1" x14ac:dyDescent="0.3">
      <c r="A425" s="49"/>
      <c r="B425" s="54">
        <v>46415</v>
      </c>
      <c r="C425" s="55" t="str">
        <f t="shared" si="6"/>
        <v>Thu</v>
      </c>
      <c r="D425" s="55"/>
      <c r="O425" s="49"/>
    </row>
    <row r="426" spans="1:15" hidden="1" x14ac:dyDescent="0.3">
      <c r="A426" s="49"/>
      <c r="B426" s="54">
        <v>46416</v>
      </c>
      <c r="C426" s="55" t="str">
        <f t="shared" si="6"/>
        <v>Fri</v>
      </c>
      <c r="D426" s="55"/>
      <c r="O426" s="49"/>
    </row>
    <row r="427" spans="1:15" hidden="1" x14ac:dyDescent="0.3">
      <c r="A427" s="49"/>
      <c r="B427" s="54">
        <v>46417</v>
      </c>
      <c r="C427" s="55" t="str">
        <f t="shared" si="6"/>
        <v>Sat</v>
      </c>
      <c r="D427" s="55"/>
      <c r="O427" s="49"/>
    </row>
    <row r="428" spans="1:15" hidden="1" x14ac:dyDescent="0.3">
      <c r="A428" s="49"/>
      <c r="B428" s="54">
        <v>46418</v>
      </c>
      <c r="C428" s="55" t="str">
        <f t="shared" si="6"/>
        <v>Sun</v>
      </c>
      <c r="D428" s="55"/>
      <c r="O428" s="49"/>
    </row>
    <row r="429" spans="1:15" hidden="1" x14ac:dyDescent="0.3">
      <c r="A429" s="49"/>
      <c r="B429" s="54">
        <v>46419</v>
      </c>
      <c r="C429" s="55" t="str">
        <f t="shared" si="6"/>
        <v>Mon</v>
      </c>
      <c r="D429" s="55"/>
      <c r="O429" s="49"/>
    </row>
    <row r="430" spans="1:15" hidden="1" x14ac:dyDescent="0.3">
      <c r="A430" s="49"/>
      <c r="B430" s="54">
        <v>46420</v>
      </c>
      <c r="C430" s="55" t="str">
        <f t="shared" si="6"/>
        <v>Tue</v>
      </c>
      <c r="D430" s="55"/>
      <c r="O430" s="49"/>
    </row>
    <row r="431" spans="1:15" hidden="1" x14ac:dyDescent="0.3">
      <c r="A431" s="49"/>
      <c r="B431" s="54">
        <v>46421</v>
      </c>
      <c r="C431" s="55" t="str">
        <f t="shared" si="6"/>
        <v>Wed</v>
      </c>
      <c r="D431" s="55"/>
      <c r="O431" s="49"/>
    </row>
    <row r="432" spans="1:15" hidden="1" x14ac:dyDescent="0.3">
      <c r="A432" s="49"/>
      <c r="B432" s="54">
        <v>46422</v>
      </c>
      <c r="C432" s="55" t="str">
        <f t="shared" si="6"/>
        <v>Thu</v>
      </c>
      <c r="D432" s="55"/>
      <c r="O432" s="49"/>
    </row>
    <row r="433" spans="1:15" hidden="1" x14ac:dyDescent="0.3">
      <c r="A433" s="49"/>
      <c r="B433" s="54">
        <v>46423</v>
      </c>
      <c r="C433" s="55" t="str">
        <f t="shared" si="6"/>
        <v>Fri</v>
      </c>
      <c r="D433" s="55"/>
      <c r="O433" s="49"/>
    </row>
    <row r="434" spans="1:15" hidden="1" x14ac:dyDescent="0.3">
      <c r="A434" s="49"/>
      <c r="B434" s="54">
        <v>46424</v>
      </c>
      <c r="C434" s="55" t="str">
        <f t="shared" si="6"/>
        <v>Sat</v>
      </c>
      <c r="D434" s="55"/>
      <c r="O434" s="49"/>
    </row>
    <row r="435" spans="1:15" hidden="1" x14ac:dyDescent="0.3">
      <c r="A435" s="49"/>
      <c r="B435" s="54">
        <v>46425</v>
      </c>
      <c r="C435" s="55" t="str">
        <f t="shared" si="6"/>
        <v>Sun</v>
      </c>
      <c r="D435" s="55"/>
      <c r="O435" s="49"/>
    </row>
    <row r="436" spans="1:15" hidden="1" x14ac:dyDescent="0.3">
      <c r="A436" s="49"/>
      <c r="B436" s="54">
        <v>46426</v>
      </c>
      <c r="C436" s="55" t="str">
        <f t="shared" si="6"/>
        <v>Mon</v>
      </c>
      <c r="D436" s="55"/>
      <c r="O436" s="49"/>
    </row>
    <row r="437" spans="1:15" hidden="1" x14ac:dyDescent="0.3">
      <c r="A437" s="49"/>
      <c r="B437" s="54">
        <v>46427</v>
      </c>
      <c r="C437" s="55" t="str">
        <f t="shared" si="6"/>
        <v>Tue</v>
      </c>
      <c r="D437" s="55"/>
      <c r="O437" s="49"/>
    </row>
    <row r="438" spans="1:15" hidden="1" x14ac:dyDescent="0.3">
      <c r="A438" s="49"/>
      <c r="B438" s="54">
        <v>46428</v>
      </c>
      <c r="C438" s="55" t="str">
        <f t="shared" si="6"/>
        <v>Wed</v>
      </c>
      <c r="D438" s="55"/>
      <c r="O438" s="49"/>
    </row>
    <row r="439" spans="1:15" hidden="1" x14ac:dyDescent="0.3">
      <c r="A439" s="49"/>
      <c r="B439" s="54">
        <v>46429</v>
      </c>
      <c r="C439" s="55" t="str">
        <f t="shared" si="6"/>
        <v>Thu</v>
      </c>
      <c r="D439" s="55"/>
      <c r="O439" s="49"/>
    </row>
    <row r="440" spans="1:15" hidden="1" x14ac:dyDescent="0.3">
      <c r="A440" s="49"/>
      <c r="B440" s="54">
        <v>46430</v>
      </c>
      <c r="C440" s="55" t="str">
        <f t="shared" si="6"/>
        <v>Fri</v>
      </c>
      <c r="D440" s="55"/>
      <c r="O440" s="49"/>
    </row>
    <row r="441" spans="1:15" hidden="1" x14ac:dyDescent="0.3">
      <c r="A441" s="49"/>
      <c r="B441" s="54">
        <v>46431</v>
      </c>
      <c r="C441" s="55" t="str">
        <f t="shared" si="6"/>
        <v>Sat</v>
      </c>
      <c r="D441" s="55"/>
      <c r="O441" s="49"/>
    </row>
    <row r="442" spans="1:15" hidden="1" x14ac:dyDescent="0.3">
      <c r="A442" s="49"/>
      <c r="B442" s="54">
        <v>46432</v>
      </c>
      <c r="C442" s="55" t="str">
        <f t="shared" si="6"/>
        <v>Sun</v>
      </c>
      <c r="D442" s="55"/>
      <c r="O442" s="49"/>
    </row>
    <row r="443" spans="1:15" hidden="1" x14ac:dyDescent="0.3">
      <c r="A443" s="49"/>
      <c r="B443" s="54">
        <v>46433</v>
      </c>
      <c r="C443" s="55" t="str">
        <f t="shared" si="6"/>
        <v>Mon</v>
      </c>
      <c r="D443" s="55"/>
      <c r="O443" s="49"/>
    </row>
    <row r="444" spans="1:15" hidden="1" x14ac:dyDescent="0.3">
      <c r="A444" s="49"/>
      <c r="B444" s="54">
        <v>46434</v>
      </c>
      <c r="C444" s="55" t="str">
        <f t="shared" si="6"/>
        <v>Tue</v>
      </c>
      <c r="D444" s="55"/>
      <c r="O444" s="49"/>
    </row>
    <row r="445" spans="1:15" hidden="1" x14ac:dyDescent="0.3">
      <c r="A445" s="49"/>
      <c r="B445" s="54">
        <v>46435</v>
      </c>
      <c r="C445" s="55" t="str">
        <f t="shared" si="6"/>
        <v>Wed</v>
      </c>
      <c r="D445" s="55"/>
      <c r="O445" s="49"/>
    </row>
    <row r="446" spans="1:15" hidden="1" x14ac:dyDescent="0.3">
      <c r="A446" s="49"/>
      <c r="B446" s="54">
        <v>46436</v>
      </c>
      <c r="C446" s="55" t="str">
        <f t="shared" si="6"/>
        <v>Thu</v>
      </c>
      <c r="D446" s="55"/>
      <c r="O446" s="49"/>
    </row>
    <row r="447" spans="1:15" hidden="1" x14ac:dyDescent="0.3">
      <c r="A447" s="49"/>
      <c r="B447" s="54">
        <v>46437</v>
      </c>
      <c r="C447" s="55" t="str">
        <f t="shared" si="6"/>
        <v>Fri</v>
      </c>
      <c r="D447" s="55"/>
      <c r="O447" s="49"/>
    </row>
    <row r="448" spans="1:15" hidden="1" x14ac:dyDescent="0.3">
      <c r="A448" s="49"/>
      <c r="B448" s="54">
        <v>46438</v>
      </c>
      <c r="C448" s="55" t="str">
        <f t="shared" si="6"/>
        <v>Sat</v>
      </c>
      <c r="D448" s="55"/>
      <c r="O448" s="49"/>
    </row>
    <row r="449" spans="1:15" hidden="1" x14ac:dyDescent="0.3">
      <c r="A449" s="49"/>
      <c r="B449" s="54">
        <v>46439</v>
      </c>
      <c r="C449" s="55" t="str">
        <f t="shared" si="6"/>
        <v>Sun</v>
      </c>
      <c r="D449" s="55"/>
      <c r="O449" s="49"/>
    </row>
    <row r="450" spans="1:15" hidden="1" x14ac:dyDescent="0.3">
      <c r="A450" s="49"/>
      <c r="B450" s="54">
        <v>46440</v>
      </c>
      <c r="C450" s="55" t="str">
        <f t="shared" si="6"/>
        <v>Mon</v>
      </c>
      <c r="D450" s="55"/>
      <c r="O450" s="49"/>
    </row>
    <row r="451" spans="1:15" hidden="1" x14ac:dyDescent="0.3">
      <c r="A451" s="49"/>
      <c r="B451" s="54">
        <v>46441</v>
      </c>
      <c r="C451" s="55" t="str">
        <f t="shared" si="6"/>
        <v>Tue</v>
      </c>
      <c r="D451" s="55"/>
      <c r="O451" s="49"/>
    </row>
    <row r="452" spans="1:15" hidden="1" x14ac:dyDescent="0.3">
      <c r="A452" s="49"/>
      <c r="B452" s="54">
        <v>46442</v>
      </c>
      <c r="C452" s="55" t="str">
        <f t="shared" si="6"/>
        <v>Wed</v>
      </c>
      <c r="D452" s="55"/>
      <c r="O452" s="49"/>
    </row>
    <row r="453" spans="1:15" hidden="1" x14ac:dyDescent="0.3">
      <c r="A453" s="49"/>
      <c r="B453" s="54">
        <v>46443</v>
      </c>
      <c r="C453" s="55" t="str">
        <f t="shared" si="6"/>
        <v>Thu</v>
      </c>
      <c r="D453" s="55"/>
      <c r="O453" s="49"/>
    </row>
    <row r="454" spans="1:15" hidden="1" x14ac:dyDescent="0.3">
      <c r="A454" s="49"/>
      <c r="B454" s="54">
        <v>46444</v>
      </c>
      <c r="C454" s="55" t="str">
        <f t="shared" si="6"/>
        <v>Fri</v>
      </c>
      <c r="D454" s="55"/>
      <c r="O454" s="49"/>
    </row>
    <row r="455" spans="1:15" hidden="1" x14ac:dyDescent="0.3">
      <c r="A455" s="49"/>
      <c r="B455" s="54">
        <v>46445</v>
      </c>
      <c r="C455" s="55" t="str">
        <f t="shared" si="6"/>
        <v>Sat</v>
      </c>
      <c r="D455" s="55"/>
      <c r="O455" s="49"/>
    </row>
    <row r="456" spans="1:15" hidden="1" x14ac:dyDescent="0.3">
      <c r="A456" s="49"/>
      <c r="B456" s="54">
        <v>46446</v>
      </c>
      <c r="C456" s="55" t="str">
        <f t="shared" si="6"/>
        <v>Sun</v>
      </c>
      <c r="D456" s="55"/>
      <c r="O456" s="49"/>
    </row>
    <row r="457" spans="1:15" hidden="1" x14ac:dyDescent="0.3">
      <c r="A457" s="49"/>
      <c r="B457" s="54">
        <v>46447</v>
      </c>
      <c r="C457" s="55" t="str">
        <f t="shared" si="6"/>
        <v>Mon</v>
      </c>
      <c r="D457" s="55"/>
      <c r="O457" s="49"/>
    </row>
    <row r="458" spans="1:15" hidden="1" x14ac:dyDescent="0.3">
      <c r="A458" s="49"/>
      <c r="B458" s="54">
        <v>46448</v>
      </c>
      <c r="C458" s="55" t="str">
        <f t="shared" si="6"/>
        <v>Tue</v>
      </c>
      <c r="D458" s="55"/>
      <c r="O458" s="49"/>
    </row>
    <row r="459" spans="1:15" hidden="1" x14ac:dyDescent="0.3">
      <c r="A459" s="49"/>
      <c r="B459" s="54">
        <v>46449</v>
      </c>
      <c r="C459" s="55" t="str">
        <f t="shared" si="6"/>
        <v>Wed</v>
      </c>
      <c r="D459" s="55"/>
      <c r="O459" s="49"/>
    </row>
    <row r="460" spans="1:15" hidden="1" x14ac:dyDescent="0.3">
      <c r="A460" s="49"/>
      <c r="B460" s="54">
        <v>46450</v>
      </c>
      <c r="C460" s="55" t="str">
        <f t="shared" si="6"/>
        <v>Thu</v>
      </c>
      <c r="D460" s="55"/>
      <c r="O460" s="49"/>
    </row>
    <row r="461" spans="1:15" hidden="1" x14ac:dyDescent="0.3">
      <c r="A461" s="49"/>
      <c r="B461" s="54">
        <v>46451</v>
      </c>
      <c r="C461" s="55" t="str">
        <f t="shared" si="6"/>
        <v>Fri</v>
      </c>
      <c r="D461" s="55"/>
      <c r="O461" s="49"/>
    </row>
    <row r="462" spans="1:15" hidden="1" x14ac:dyDescent="0.3">
      <c r="A462" s="49"/>
      <c r="B462" s="54">
        <v>46452</v>
      </c>
      <c r="C462" s="55" t="str">
        <f t="shared" si="6"/>
        <v>Sat</v>
      </c>
      <c r="D462" s="55"/>
      <c r="O462" s="49"/>
    </row>
    <row r="463" spans="1:15" hidden="1" x14ac:dyDescent="0.3">
      <c r="A463" s="49"/>
      <c r="B463" s="54">
        <v>46453</v>
      </c>
      <c r="C463" s="55" t="str">
        <f t="shared" si="6"/>
        <v>Sun</v>
      </c>
      <c r="D463" s="55"/>
      <c r="O463" s="49"/>
    </row>
    <row r="464" spans="1:15" hidden="1" x14ac:dyDescent="0.3">
      <c r="A464" s="49"/>
      <c r="B464" s="54">
        <v>46454</v>
      </c>
      <c r="C464" s="55" t="str">
        <f t="shared" si="6"/>
        <v>Mon</v>
      </c>
      <c r="D464" s="55"/>
      <c r="O464" s="49"/>
    </row>
    <row r="465" spans="1:15" hidden="1" x14ac:dyDescent="0.3">
      <c r="A465" s="49"/>
      <c r="B465" s="54">
        <v>46455</v>
      </c>
      <c r="C465" s="55" t="str">
        <f t="shared" si="6"/>
        <v>Tue</v>
      </c>
      <c r="D465" s="55"/>
      <c r="O465" s="49"/>
    </row>
    <row r="466" spans="1:15" hidden="1" x14ac:dyDescent="0.3">
      <c r="A466" s="49"/>
      <c r="B466" s="54">
        <v>46456</v>
      </c>
      <c r="C466" s="55" t="str">
        <f t="shared" si="6"/>
        <v>Wed</v>
      </c>
      <c r="D466" s="55"/>
      <c r="O466" s="49"/>
    </row>
    <row r="467" spans="1:15" hidden="1" x14ac:dyDescent="0.3">
      <c r="A467" s="49"/>
      <c r="B467" s="54">
        <v>46457</v>
      </c>
      <c r="C467" s="55" t="str">
        <f t="shared" si="6"/>
        <v>Thu</v>
      </c>
      <c r="D467" s="55"/>
      <c r="O467" s="49"/>
    </row>
    <row r="468" spans="1:15" hidden="1" x14ac:dyDescent="0.3">
      <c r="A468" s="49"/>
      <c r="B468" s="54">
        <v>46458</v>
      </c>
      <c r="C468" s="55" t="str">
        <f t="shared" si="6"/>
        <v>Fri</v>
      </c>
      <c r="D468" s="55"/>
      <c r="O468" s="49"/>
    </row>
    <row r="469" spans="1:15" hidden="1" x14ac:dyDescent="0.3">
      <c r="A469" s="49"/>
      <c r="B469" s="54">
        <v>46459</v>
      </c>
      <c r="C469" s="55" t="str">
        <f t="shared" si="6"/>
        <v>Sat</v>
      </c>
      <c r="D469" s="55"/>
      <c r="O469" s="49"/>
    </row>
    <row r="470" spans="1:15" hidden="1" x14ac:dyDescent="0.3">
      <c r="A470" s="49"/>
      <c r="B470" s="54">
        <v>46460</v>
      </c>
      <c r="C470" s="55" t="str">
        <f t="shared" si="6"/>
        <v>Sun</v>
      </c>
      <c r="D470" s="55"/>
      <c r="O470" s="49"/>
    </row>
    <row r="471" spans="1:15" hidden="1" x14ac:dyDescent="0.3">
      <c r="A471" s="49"/>
      <c r="B471" s="54">
        <v>46461</v>
      </c>
      <c r="C471" s="55" t="str">
        <f t="shared" si="6"/>
        <v>Mon</v>
      </c>
      <c r="D471" s="55"/>
      <c r="O471" s="49"/>
    </row>
    <row r="472" spans="1:15" hidden="1" x14ac:dyDescent="0.3">
      <c r="A472" s="49"/>
      <c r="B472" s="54">
        <v>46462</v>
      </c>
      <c r="C472" s="55" t="str">
        <f t="shared" si="6"/>
        <v>Tue</v>
      </c>
      <c r="D472" s="55"/>
      <c r="O472" s="49"/>
    </row>
    <row r="473" spans="1:15" hidden="1" x14ac:dyDescent="0.3">
      <c r="A473" s="49"/>
      <c r="B473" s="54">
        <v>46463</v>
      </c>
      <c r="C473" s="55" t="str">
        <f t="shared" si="6"/>
        <v>Wed</v>
      </c>
      <c r="D473" s="55"/>
      <c r="O473" s="49"/>
    </row>
    <row r="474" spans="1:15" hidden="1" x14ac:dyDescent="0.3">
      <c r="A474" s="49"/>
      <c r="B474" s="54">
        <v>46464</v>
      </c>
      <c r="C474" s="55" t="str">
        <f t="shared" si="6"/>
        <v>Thu</v>
      </c>
      <c r="D474" s="55"/>
      <c r="O474" s="49"/>
    </row>
    <row r="475" spans="1:15" hidden="1" x14ac:dyDescent="0.3">
      <c r="A475" s="49"/>
      <c r="B475" s="54">
        <v>46465</v>
      </c>
      <c r="C475" s="55" t="str">
        <f t="shared" si="6"/>
        <v>Fri</v>
      </c>
      <c r="D475" s="55"/>
      <c r="O475" s="49"/>
    </row>
    <row r="476" spans="1:15" hidden="1" x14ac:dyDescent="0.3">
      <c r="A476" s="49"/>
      <c r="B476" s="54">
        <v>46466</v>
      </c>
      <c r="C476" s="55" t="str">
        <f t="shared" si="6"/>
        <v>Sat</v>
      </c>
      <c r="D476" s="55"/>
      <c r="O476" s="49"/>
    </row>
    <row r="477" spans="1:15" hidden="1" x14ac:dyDescent="0.3">
      <c r="A477" s="49"/>
      <c r="B477" s="54">
        <v>46467</v>
      </c>
      <c r="C477" s="55" t="str">
        <f t="shared" si="6"/>
        <v>Sun</v>
      </c>
      <c r="D477" s="55"/>
      <c r="O477" s="49"/>
    </row>
    <row r="478" spans="1:15" hidden="1" x14ac:dyDescent="0.3">
      <c r="A478" s="49"/>
      <c r="B478" s="54">
        <v>46468</v>
      </c>
      <c r="C478" s="55" t="str">
        <f t="shared" si="6"/>
        <v>Mon</v>
      </c>
      <c r="D478" s="55"/>
      <c r="O478" s="49"/>
    </row>
    <row r="479" spans="1:15" hidden="1" x14ac:dyDescent="0.3">
      <c r="A479" s="49"/>
      <c r="B479" s="54">
        <v>46469</v>
      </c>
      <c r="C479" s="55" t="str">
        <f t="shared" si="6"/>
        <v>Tue</v>
      </c>
      <c r="D479" s="55"/>
      <c r="O479" s="49"/>
    </row>
    <row r="480" spans="1:15" hidden="1" x14ac:dyDescent="0.3">
      <c r="A480" s="49"/>
      <c r="B480" s="54">
        <v>46470</v>
      </c>
      <c r="C480" s="55" t="str">
        <f t="shared" si="6"/>
        <v>Wed</v>
      </c>
      <c r="D480" s="55"/>
      <c r="O480" s="49"/>
    </row>
    <row r="481" spans="1:15" hidden="1" x14ac:dyDescent="0.3">
      <c r="A481" s="49"/>
      <c r="B481" s="54">
        <v>46471</v>
      </c>
      <c r="C481" s="55" t="str">
        <f t="shared" si="6"/>
        <v>Thu</v>
      </c>
      <c r="D481" s="55"/>
      <c r="O481" s="49"/>
    </row>
    <row r="482" spans="1:15" hidden="1" x14ac:dyDescent="0.3">
      <c r="A482" s="49"/>
      <c r="B482" s="54">
        <v>46472</v>
      </c>
      <c r="C482" s="55" t="str">
        <f t="shared" ref="C482:C545" si="7">TEXT(B482,"ddd")</f>
        <v>Fri</v>
      </c>
      <c r="D482" s="55"/>
      <c r="O482" s="49"/>
    </row>
    <row r="483" spans="1:15" hidden="1" x14ac:dyDescent="0.3">
      <c r="A483" s="49"/>
      <c r="B483" s="54">
        <v>46473</v>
      </c>
      <c r="C483" s="55" t="str">
        <f t="shared" si="7"/>
        <v>Sat</v>
      </c>
      <c r="D483" s="55"/>
      <c r="O483" s="49"/>
    </row>
    <row r="484" spans="1:15" hidden="1" x14ac:dyDescent="0.3">
      <c r="A484" s="49"/>
      <c r="B484" s="54">
        <v>46474</v>
      </c>
      <c r="C484" s="55" t="str">
        <f t="shared" si="7"/>
        <v>Sun</v>
      </c>
      <c r="D484" s="55"/>
      <c r="O484" s="49"/>
    </row>
    <row r="485" spans="1:15" hidden="1" x14ac:dyDescent="0.3">
      <c r="A485" s="49"/>
      <c r="B485" s="54">
        <v>46475</v>
      </c>
      <c r="C485" s="55" t="str">
        <f t="shared" si="7"/>
        <v>Mon</v>
      </c>
      <c r="D485" s="55"/>
      <c r="O485" s="49"/>
    </row>
    <row r="486" spans="1:15" hidden="1" x14ac:dyDescent="0.3">
      <c r="A486" s="49"/>
      <c r="B486" s="54">
        <v>46476</v>
      </c>
      <c r="C486" s="55" t="str">
        <f t="shared" si="7"/>
        <v>Tue</v>
      </c>
      <c r="D486" s="55"/>
      <c r="O486" s="49"/>
    </row>
    <row r="487" spans="1:15" hidden="1" x14ac:dyDescent="0.3">
      <c r="A487" s="49"/>
      <c r="B487" s="54">
        <v>46477</v>
      </c>
      <c r="C487" s="55" t="str">
        <f t="shared" si="7"/>
        <v>Wed</v>
      </c>
      <c r="D487" s="55"/>
      <c r="O487" s="49"/>
    </row>
    <row r="488" spans="1:15" hidden="1" x14ac:dyDescent="0.3">
      <c r="A488" s="49"/>
      <c r="B488" s="54">
        <v>46478</v>
      </c>
      <c r="C488" s="55" t="str">
        <f t="shared" si="7"/>
        <v>Thu</v>
      </c>
      <c r="D488" s="55"/>
      <c r="O488" s="49"/>
    </row>
    <row r="489" spans="1:15" hidden="1" x14ac:dyDescent="0.3">
      <c r="A489" s="49"/>
      <c r="B489" s="54">
        <v>46479</v>
      </c>
      <c r="C489" s="55" t="str">
        <f t="shared" si="7"/>
        <v>Fri</v>
      </c>
      <c r="D489" s="55"/>
      <c r="O489" s="49"/>
    </row>
    <row r="490" spans="1:15" hidden="1" x14ac:dyDescent="0.3">
      <c r="A490" s="49"/>
      <c r="B490" s="54">
        <v>46480</v>
      </c>
      <c r="C490" s="55" t="str">
        <f t="shared" si="7"/>
        <v>Sat</v>
      </c>
      <c r="D490" s="55"/>
      <c r="O490" s="49"/>
    </row>
    <row r="491" spans="1:15" hidden="1" x14ac:dyDescent="0.3">
      <c r="A491" s="49"/>
      <c r="B491" s="54">
        <v>46481</v>
      </c>
      <c r="C491" s="55" t="str">
        <f t="shared" si="7"/>
        <v>Sun</v>
      </c>
      <c r="D491" s="55"/>
      <c r="O491" s="49"/>
    </row>
    <row r="492" spans="1:15" hidden="1" x14ac:dyDescent="0.3">
      <c r="A492" s="49"/>
      <c r="B492" s="54">
        <v>46482</v>
      </c>
      <c r="C492" s="55" t="str">
        <f t="shared" si="7"/>
        <v>Mon</v>
      </c>
      <c r="D492" s="55"/>
      <c r="O492" s="49"/>
    </row>
    <row r="493" spans="1:15" hidden="1" x14ac:dyDescent="0.3">
      <c r="A493" s="49"/>
      <c r="B493" s="54">
        <v>46483</v>
      </c>
      <c r="C493" s="55" t="str">
        <f t="shared" si="7"/>
        <v>Tue</v>
      </c>
      <c r="D493" s="55"/>
      <c r="O493" s="49"/>
    </row>
    <row r="494" spans="1:15" hidden="1" x14ac:dyDescent="0.3">
      <c r="A494" s="49"/>
      <c r="B494" s="54">
        <v>46484</v>
      </c>
      <c r="C494" s="55" t="str">
        <f t="shared" si="7"/>
        <v>Wed</v>
      </c>
      <c r="D494" s="55"/>
      <c r="O494" s="49"/>
    </row>
    <row r="495" spans="1:15" hidden="1" x14ac:dyDescent="0.3">
      <c r="A495" s="49"/>
      <c r="B495" s="54">
        <v>46485</v>
      </c>
      <c r="C495" s="55" t="str">
        <f t="shared" si="7"/>
        <v>Thu</v>
      </c>
      <c r="D495" s="55"/>
      <c r="O495" s="49"/>
    </row>
    <row r="496" spans="1:15" hidden="1" x14ac:dyDescent="0.3">
      <c r="A496" s="49"/>
      <c r="B496" s="54">
        <v>46486</v>
      </c>
      <c r="C496" s="55" t="str">
        <f t="shared" si="7"/>
        <v>Fri</v>
      </c>
      <c r="D496" s="55"/>
      <c r="O496" s="49"/>
    </row>
    <row r="497" spans="1:15" hidden="1" x14ac:dyDescent="0.3">
      <c r="A497" s="49"/>
      <c r="B497" s="54">
        <v>46487</v>
      </c>
      <c r="C497" s="55" t="str">
        <f t="shared" si="7"/>
        <v>Sat</v>
      </c>
      <c r="D497" s="55"/>
      <c r="O497" s="49"/>
    </row>
    <row r="498" spans="1:15" hidden="1" x14ac:dyDescent="0.3">
      <c r="A498" s="49"/>
      <c r="B498" s="54">
        <v>46488</v>
      </c>
      <c r="C498" s="55" t="str">
        <f t="shared" si="7"/>
        <v>Sun</v>
      </c>
      <c r="D498" s="55"/>
      <c r="O498" s="49"/>
    </row>
    <row r="499" spans="1:15" hidden="1" x14ac:dyDescent="0.3">
      <c r="A499" s="49"/>
      <c r="B499" s="54">
        <v>46489</v>
      </c>
      <c r="C499" s="55" t="str">
        <f t="shared" si="7"/>
        <v>Mon</v>
      </c>
      <c r="D499" s="55"/>
      <c r="O499" s="49"/>
    </row>
    <row r="500" spans="1:15" hidden="1" x14ac:dyDescent="0.3">
      <c r="A500" s="49"/>
      <c r="B500" s="54">
        <v>46490</v>
      </c>
      <c r="C500" s="55" t="str">
        <f t="shared" si="7"/>
        <v>Tue</v>
      </c>
      <c r="D500" s="55"/>
      <c r="O500" s="49"/>
    </row>
    <row r="501" spans="1:15" hidden="1" x14ac:dyDescent="0.3">
      <c r="A501" s="49"/>
      <c r="B501" s="54">
        <v>46491</v>
      </c>
      <c r="C501" s="55" t="str">
        <f t="shared" si="7"/>
        <v>Wed</v>
      </c>
      <c r="D501" s="55"/>
      <c r="O501" s="49"/>
    </row>
    <row r="502" spans="1:15" hidden="1" x14ac:dyDescent="0.3">
      <c r="A502" s="49"/>
      <c r="B502" s="54">
        <v>46492</v>
      </c>
      <c r="C502" s="55" t="str">
        <f t="shared" si="7"/>
        <v>Thu</v>
      </c>
      <c r="D502" s="55"/>
      <c r="O502" s="49"/>
    </row>
    <row r="503" spans="1:15" hidden="1" x14ac:dyDescent="0.3">
      <c r="A503" s="49"/>
      <c r="B503" s="54">
        <v>46493</v>
      </c>
      <c r="C503" s="55" t="str">
        <f t="shared" si="7"/>
        <v>Fri</v>
      </c>
      <c r="D503" s="55"/>
      <c r="O503" s="49"/>
    </row>
    <row r="504" spans="1:15" hidden="1" x14ac:dyDescent="0.3">
      <c r="A504" s="49"/>
      <c r="B504" s="54">
        <v>46494</v>
      </c>
      <c r="C504" s="55" t="str">
        <f t="shared" si="7"/>
        <v>Sat</v>
      </c>
      <c r="D504" s="55"/>
      <c r="O504" s="49"/>
    </row>
    <row r="505" spans="1:15" hidden="1" x14ac:dyDescent="0.3">
      <c r="A505" s="49"/>
      <c r="B505" s="54">
        <v>46495</v>
      </c>
      <c r="C505" s="55" t="str">
        <f t="shared" si="7"/>
        <v>Sun</v>
      </c>
      <c r="D505" s="55"/>
      <c r="O505" s="49"/>
    </row>
    <row r="506" spans="1:15" hidden="1" x14ac:dyDescent="0.3">
      <c r="A506" s="49"/>
      <c r="B506" s="54">
        <v>46496</v>
      </c>
      <c r="C506" s="55" t="str">
        <f t="shared" si="7"/>
        <v>Mon</v>
      </c>
      <c r="D506" s="55"/>
      <c r="O506" s="49"/>
    </row>
    <row r="507" spans="1:15" hidden="1" x14ac:dyDescent="0.3">
      <c r="A507" s="49"/>
      <c r="B507" s="54">
        <v>46497</v>
      </c>
      <c r="C507" s="55" t="str">
        <f t="shared" si="7"/>
        <v>Tue</v>
      </c>
      <c r="D507" s="55"/>
      <c r="O507" s="49"/>
    </row>
    <row r="508" spans="1:15" hidden="1" x14ac:dyDescent="0.3">
      <c r="A508" s="49"/>
      <c r="B508" s="54">
        <v>46498</v>
      </c>
      <c r="C508" s="55" t="str">
        <f t="shared" si="7"/>
        <v>Wed</v>
      </c>
      <c r="D508" s="55"/>
      <c r="O508" s="49"/>
    </row>
    <row r="509" spans="1:15" hidden="1" x14ac:dyDescent="0.3">
      <c r="A509" s="49"/>
      <c r="B509" s="54">
        <v>46499</v>
      </c>
      <c r="C509" s="55" t="str">
        <f t="shared" si="7"/>
        <v>Thu</v>
      </c>
      <c r="D509" s="55"/>
      <c r="O509" s="49"/>
    </row>
    <row r="510" spans="1:15" hidden="1" x14ac:dyDescent="0.3">
      <c r="A510" s="49"/>
      <c r="B510" s="54">
        <v>46500</v>
      </c>
      <c r="C510" s="55" t="str">
        <f t="shared" si="7"/>
        <v>Fri</v>
      </c>
      <c r="D510" s="55"/>
      <c r="O510" s="49"/>
    </row>
    <row r="511" spans="1:15" hidden="1" x14ac:dyDescent="0.3">
      <c r="A511" s="49"/>
      <c r="B511" s="54">
        <v>46501</v>
      </c>
      <c r="C511" s="55" t="str">
        <f t="shared" si="7"/>
        <v>Sat</v>
      </c>
      <c r="D511" s="55"/>
      <c r="O511" s="49"/>
    </row>
    <row r="512" spans="1:15" hidden="1" x14ac:dyDescent="0.3">
      <c r="A512" s="49"/>
      <c r="B512" s="54">
        <v>46502</v>
      </c>
      <c r="C512" s="55" t="str">
        <f t="shared" si="7"/>
        <v>Sun</v>
      </c>
      <c r="D512" s="55"/>
      <c r="O512" s="49"/>
    </row>
    <row r="513" spans="1:15" hidden="1" x14ac:dyDescent="0.3">
      <c r="A513" s="49"/>
      <c r="B513" s="54">
        <v>46503</v>
      </c>
      <c r="C513" s="55" t="str">
        <f t="shared" si="7"/>
        <v>Mon</v>
      </c>
      <c r="D513" s="55"/>
      <c r="O513" s="49"/>
    </row>
    <row r="514" spans="1:15" hidden="1" x14ac:dyDescent="0.3">
      <c r="A514" s="49"/>
      <c r="B514" s="54">
        <v>46504</v>
      </c>
      <c r="C514" s="55" t="str">
        <f t="shared" si="7"/>
        <v>Tue</v>
      </c>
      <c r="D514" s="55"/>
      <c r="O514" s="49"/>
    </row>
    <row r="515" spans="1:15" hidden="1" x14ac:dyDescent="0.3">
      <c r="A515" s="49"/>
      <c r="B515" s="54">
        <v>46505</v>
      </c>
      <c r="C515" s="55" t="str">
        <f t="shared" si="7"/>
        <v>Wed</v>
      </c>
      <c r="D515" s="55"/>
      <c r="O515" s="49"/>
    </row>
    <row r="516" spans="1:15" hidden="1" x14ac:dyDescent="0.3">
      <c r="A516" s="49"/>
      <c r="B516" s="54">
        <v>46506</v>
      </c>
      <c r="C516" s="55" t="str">
        <f t="shared" si="7"/>
        <v>Thu</v>
      </c>
      <c r="D516" s="55"/>
      <c r="O516" s="49"/>
    </row>
    <row r="517" spans="1:15" hidden="1" x14ac:dyDescent="0.3">
      <c r="A517" s="49"/>
      <c r="B517" s="54">
        <v>46507</v>
      </c>
      <c r="C517" s="55" t="str">
        <f t="shared" si="7"/>
        <v>Fri</v>
      </c>
      <c r="D517" s="55"/>
      <c r="O517" s="49"/>
    </row>
    <row r="518" spans="1:15" hidden="1" x14ac:dyDescent="0.3">
      <c r="A518" s="49"/>
      <c r="B518" s="54">
        <v>46508</v>
      </c>
      <c r="C518" s="55" t="str">
        <f t="shared" si="7"/>
        <v>Sat</v>
      </c>
      <c r="D518" s="55"/>
      <c r="O518" s="49"/>
    </row>
    <row r="519" spans="1:15" hidden="1" x14ac:dyDescent="0.3">
      <c r="A519" s="49"/>
      <c r="B519" s="54">
        <v>46509</v>
      </c>
      <c r="C519" s="55" t="str">
        <f t="shared" si="7"/>
        <v>Sun</v>
      </c>
      <c r="D519" s="55"/>
      <c r="O519" s="49"/>
    </row>
    <row r="520" spans="1:15" hidden="1" x14ac:dyDescent="0.3">
      <c r="A520" s="49"/>
      <c r="B520" s="54">
        <v>46510</v>
      </c>
      <c r="C520" s="55" t="str">
        <f t="shared" si="7"/>
        <v>Mon</v>
      </c>
      <c r="D520" s="55"/>
      <c r="O520" s="49"/>
    </row>
    <row r="521" spans="1:15" hidden="1" x14ac:dyDescent="0.3">
      <c r="A521" s="49"/>
      <c r="B521" s="54">
        <v>46511</v>
      </c>
      <c r="C521" s="55" t="str">
        <f t="shared" si="7"/>
        <v>Tue</v>
      </c>
      <c r="D521" s="55"/>
      <c r="O521" s="49"/>
    </row>
    <row r="522" spans="1:15" hidden="1" x14ac:dyDescent="0.3">
      <c r="A522" s="49"/>
      <c r="B522" s="54">
        <v>46512</v>
      </c>
      <c r="C522" s="55" t="str">
        <f t="shared" si="7"/>
        <v>Wed</v>
      </c>
      <c r="D522" s="55"/>
      <c r="O522" s="49"/>
    </row>
    <row r="523" spans="1:15" hidden="1" x14ac:dyDescent="0.3">
      <c r="A523" s="49"/>
      <c r="B523" s="54">
        <v>46513</v>
      </c>
      <c r="C523" s="55" t="str">
        <f t="shared" si="7"/>
        <v>Thu</v>
      </c>
      <c r="D523" s="55"/>
      <c r="O523" s="49"/>
    </row>
    <row r="524" spans="1:15" hidden="1" x14ac:dyDescent="0.3">
      <c r="A524" s="49"/>
      <c r="B524" s="54">
        <v>46514</v>
      </c>
      <c r="C524" s="55" t="str">
        <f t="shared" si="7"/>
        <v>Fri</v>
      </c>
      <c r="D524" s="55"/>
      <c r="O524" s="49"/>
    </row>
    <row r="525" spans="1:15" hidden="1" x14ac:dyDescent="0.3">
      <c r="A525" s="49"/>
      <c r="B525" s="54">
        <v>46515</v>
      </c>
      <c r="C525" s="55" t="str">
        <f t="shared" si="7"/>
        <v>Sat</v>
      </c>
      <c r="D525" s="55"/>
      <c r="O525" s="49"/>
    </row>
    <row r="526" spans="1:15" hidden="1" x14ac:dyDescent="0.3">
      <c r="A526" s="49"/>
      <c r="B526" s="54">
        <v>46516</v>
      </c>
      <c r="C526" s="55" t="str">
        <f t="shared" si="7"/>
        <v>Sun</v>
      </c>
      <c r="D526" s="55"/>
      <c r="O526" s="49"/>
    </row>
    <row r="527" spans="1:15" hidden="1" x14ac:dyDescent="0.3">
      <c r="A527" s="49"/>
      <c r="B527" s="54">
        <v>46517</v>
      </c>
      <c r="C527" s="55" t="str">
        <f t="shared" si="7"/>
        <v>Mon</v>
      </c>
      <c r="D527" s="55"/>
      <c r="O527" s="49"/>
    </row>
    <row r="528" spans="1:15" hidden="1" x14ac:dyDescent="0.3">
      <c r="A528" s="49"/>
      <c r="B528" s="54">
        <v>46518</v>
      </c>
      <c r="C528" s="55" t="str">
        <f t="shared" si="7"/>
        <v>Tue</v>
      </c>
      <c r="D528" s="55"/>
      <c r="O528" s="49"/>
    </row>
    <row r="529" spans="1:15" hidden="1" x14ac:dyDescent="0.3">
      <c r="A529" s="49"/>
      <c r="B529" s="54">
        <v>46519</v>
      </c>
      <c r="C529" s="55" t="str">
        <f t="shared" si="7"/>
        <v>Wed</v>
      </c>
      <c r="D529" s="55"/>
      <c r="O529" s="49"/>
    </row>
    <row r="530" spans="1:15" hidden="1" x14ac:dyDescent="0.3">
      <c r="A530" s="49"/>
      <c r="B530" s="54">
        <v>46520</v>
      </c>
      <c r="C530" s="55" t="str">
        <f t="shared" si="7"/>
        <v>Thu</v>
      </c>
      <c r="D530" s="55"/>
      <c r="O530" s="49"/>
    </row>
    <row r="531" spans="1:15" hidden="1" x14ac:dyDescent="0.3">
      <c r="A531" s="49"/>
      <c r="B531" s="54">
        <v>46521</v>
      </c>
      <c r="C531" s="55" t="str">
        <f t="shared" si="7"/>
        <v>Fri</v>
      </c>
      <c r="D531" s="55"/>
      <c r="O531" s="49"/>
    </row>
    <row r="532" spans="1:15" hidden="1" x14ac:dyDescent="0.3">
      <c r="A532" s="49"/>
      <c r="B532" s="54">
        <v>46522</v>
      </c>
      <c r="C532" s="55" t="str">
        <f t="shared" si="7"/>
        <v>Sat</v>
      </c>
      <c r="D532" s="55"/>
      <c r="O532" s="49"/>
    </row>
    <row r="533" spans="1:15" hidden="1" x14ac:dyDescent="0.3">
      <c r="A533" s="49"/>
      <c r="B533" s="54">
        <v>46523</v>
      </c>
      <c r="C533" s="55" t="str">
        <f t="shared" si="7"/>
        <v>Sun</v>
      </c>
      <c r="D533" s="55"/>
      <c r="O533" s="49"/>
    </row>
    <row r="534" spans="1:15" hidden="1" x14ac:dyDescent="0.3">
      <c r="A534" s="49"/>
      <c r="B534" s="54">
        <v>46524</v>
      </c>
      <c r="C534" s="55" t="str">
        <f t="shared" si="7"/>
        <v>Mon</v>
      </c>
      <c r="D534" s="55"/>
      <c r="O534" s="49"/>
    </row>
    <row r="535" spans="1:15" hidden="1" x14ac:dyDescent="0.3">
      <c r="A535" s="49"/>
      <c r="B535" s="54">
        <v>46525</v>
      </c>
      <c r="C535" s="55" t="str">
        <f t="shared" si="7"/>
        <v>Tue</v>
      </c>
      <c r="D535" s="55"/>
      <c r="O535" s="49"/>
    </row>
    <row r="536" spans="1:15" hidden="1" x14ac:dyDescent="0.3">
      <c r="A536" s="49"/>
      <c r="B536" s="54">
        <v>46526</v>
      </c>
      <c r="C536" s="55" t="str">
        <f t="shared" si="7"/>
        <v>Wed</v>
      </c>
      <c r="D536" s="55"/>
      <c r="O536" s="49"/>
    </row>
    <row r="537" spans="1:15" hidden="1" x14ac:dyDescent="0.3">
      <c r="A537" s="49"/>
      <c r="B537" s="54">
        <v>46527</v>
      </c>
      <c r="C537" s="55" t="str">
        <f t="shared" si="7"/>
        <v>Thu</v>
      </c>
      <c r="D537" s="55"/>
      <c r="O537" s="49"/>
    </row>
    <row r="538" spans="1:15" hidden="1" x14ac:dyDescent="0.3">
      <c r="A538" s="49"/>
      <c r="B538" s="54">
        <v>46528</v>
      </c>
      <c r="C538" s="55" t="str">
        <f t="shared" si="7"/>
        <v>Fri</v>
      </c>
      <c r="D538" s="55"/>
      <c r="O538" s="49"/>
    </row>
    <row r="539" spans="1:15" hidden="1" x14ac:dyDescent="0.3">
      <c r="A539" s="49"/>
      <c r="B539" s="54">
        <v>46529</v>
      </c>
      <c r="C539" s="55" t="str">
        <f t="shared" si="7"/>
        <v>Sat</v>
      </c>
      <c r="D539" s="55"/>
      <c r="O539" s="49"/>
    </row>
    <row r="540" spans="1:15" hidden="1" x14ac:dyDescent="0.3">
      <c r="A540" s="49"/>
      <c r="B540" s="54">
        <v>46530</v>
      </c>
      <c r="C540" s="55" t="str">
        <f t="shared" si="7"/>
        <v>Sun</v>
      </c>
      <c r="D540" s="55"/>
      <c r="O540" s="49"/>
    </row>
    <row r="541" spans="1:15" hidden="1" x14ac:dyDescent="0.3">
      <c r="A541" s="49"/>
      <c r="B541" s="54">
        <v>46531</v>
      </c>
      <c r="C541" s="55" t="str">
        <f t="shared" si="7"/>
        <v>Mon</v>
      </c>
      <c r="D541" s="55"/>
      <c r="O541" s="49"/>
    </row>
    <row r="542" spans="1:15" hidden="1" x14ac:dyDescent="0.3">
      <c r="A542" s="49"/>
      <c r="B542" s="54">
        <v>46532</v>
      </c>
      <c r="C542" s="55" t="str">
        <f t="shared" si="7"/>
        <v>Tue</v>
      </c>
      <c r="D542" s="55"/>
      <c r="O542" s="49"/>
    </row>
    <row r="543" spans="1:15" hidden="1" x14ac:dyDescent="0.3">
      <c r="A543" s="49"/>
      <c r="B543" s="54">
        <v>46533</v>
      </c>
      <c r="C543" s="55" t="str">
        <f t="shared" si="7"/>
        <v>Wed</v>
      </c>
      <c r="D543" s="55"/>
      <c r="O543" s="49"/>
    </row>
    <row r="544" spans="1:15" hidden="1" x14ac:dyDescent="0.3">
      <c r="A544" s="49"/>
      <c r="B544" s="54">
        <v>46534</v>
      </c>
      <c r="C544" s="55" t="str">
        <f t="shared" si="7"/>
        <v>Thu</v>
      </c>
      <c r="D544" s="55"/>
      <c r="O544" s="49"/>
    </row>
    <row r="545" spans="1:15" hidden="1" x14ac:dyDescent="0.3">
      <c r="A545" s="49"/>
      <c r="B545" s="54">
        <v>46535</v>
      </c>
      <c r="C545" s="55" t="str">
        <f t="shared" si="7"/>
        <v>Fri</v>
      </c>
      <c r="D545" s="55"/>
      <c r="O545" s="49"/>
    </row>
    <row r="546" spans="1:15" hidden="1" x14ac:dyDescent="0.3">
      <c r="A546" s="49"/>
      <c r="B546" s="54">
        <v>46536</v>
      </c>
      <c r="C546" s="55" t="str">
        <f t="shared" ref="C546:C609" si="8">TEXT(B546,"ddd")</f>
        <v>Sat</v>
      </c>
      <c r="D546" s="55"/>
      <c r="O546" s="49"/>
    </row>
    <row r="547" spans="1:15" hidden="1" x14ac:dyDescent="0.3">
      <c r="A547" s="49"/>
      <c r="B547" s="54">
        <v>46537</v>
      </c>
      <c r="C547" s="55" t="str">
        <f t="shared" si="8"/>
        <v>Sun</v>
      </c>
      <c r="D547" s="55"/>
      <c r="O547" s="49"/>
    </row>
    <row r="548" spans="1:15" hidden="1" x14ac:dyDescent="0.3">
      <c r="A548" s="49"/>
      <c r="B548" s="54">
        <v>46538</v>
      </c>
      <c r="C548" s="55" t="str">
        <f t="shared" si="8"/>
        <v>Mon</v>
      </c>
      <c r="D548" s="55"/>
      <c r="O548" s="49"/>
    </row>
    <row r="549" spans="1:15" hidden="1" x14ac:dyDescent="0.3">
      <c r="A549" s="49"/>
      <c r="B549" s="54">
        <v>46539</v>
      </c>
      <c r="C549" s="55" t="str">
        <f t="shared" si="8"/>
        <v>Tue</v>
      </c>
      <c r="D549" s="55"/>
      <c r="O549" s="49"/>
    </row>
    <row r="550" spans="1:15" hidden="1" x14ac:dyDescent="0.3">
      <c r="A550" s="49"/>
      <c r="B550" s="54">
        <v>46540</v>
      </c>
      <c r="C550" s="55" t="str">
        <f t="shared" si="8"/>
        <v>Wed</v>
      </c>
      <c r="D550" s="55"/>
      <c r="O550" s="49"/>
    </row>
    <row r="551" spans="1:15" hidden="1" x14ac:dyDescent="0.3">
      <c r="A551" s="49"/>
      <c r="B551" s="54">
        <v>46541</v>
      </c>
      <c r="C551" s="55" t="str">
        <f t="shared" si="8"/>
        <v>Thu</v>
      </c>
      <c r="D551" s="55"/>
      <c r="O551" s="49"/>
    </row>
    <row r="552" spans="1:15" hidden="1" x14ac:dyDescent="0.3">
      <c r="A552" s="49"/>
      <c r="B552" s="54">
        <v>46542</v>
      </c>
      <c r="C552" s="55" t="str">
        <f t="shared" si="8"/>
        <v>Fri</v>
      </c>
      <c r="D552" s="55"/>
      <c r="O552" s="49"/>
    </row>
    <row r="553" spans="1:15" hidden="1" x14ac:dyDescent="0.3">
      <c r="A553" s="49"/>
      <c r="B553" s="54">
        <v>46543</v>
      </c>
      <c r="C553" s="55" t="str">
        <f t="shared" si="8"/>
        <v>Sat</v>
      </c>
      <c r="D553" s="55"/>
      <c r="O553" s="49"/>
    </row>
    <row r="554" spans="1:15" hidden="1" x14ac:dyDescent="0.3">
      <c r="A554" s="49"/>
      <c r="B554" s="54">
        <v>46544</v>
      </c>
      <c r="C554" s="55" t="str">
        <f t="shared" si="8"/>
        <v>Sun</v>
      </c>
      <c r="D554" s="55"/>
      <c r="O554" s="49"/>
    </row>
    <row r="555" spans="1:15" hidden="1" x14ac:dyDescent="0.3">
      <c r="A555" s="49"/>
      <c r="B555" s="54">
        <v>46545</v>
      </c>
      <c r="C555" s="55" t="str">
        <f t="shared" si="8"/>
        <v>Mon</v>
      </c>
      <c r="D555" s="55"/>
      <c r="O555" s="49"/>
    </row>
    <row r="556" spans="1:15" hidden="1" x14ac:dyDescent="0.3">
      <c r="A556" s="49"/>
      <c r="B556" s="54">
        <v>46546</v>
      </c>
      <c r="C556" s="55" t="str">
        <f t="shared" si="8"/>
        <v>Tue</v>
      </c>
      <c r="D556" s="55"/>
      <c r="O556" s="49"/>
    </row>
    <row r="557" spans="1:15" hidden="1" x14ac:dyDescent="0.3">
      <c r="A557" s="49"/>
      <c r="B557" s="54">
        <v>46547</v>
      </c>
      <c r="C557" s="55" t="str">
        <f t="shared" si="8"/>
        <v>Wed</v>
      </c>
      <c r="D557" s="55"/>
      <c r="O557" s="49"/>
    </row>
    <row r="558" spans="1:15" hidden="1" x14ac:dyDescent="0.3">
      <c r="A558" s="49"/>
      <c r="B558" s="54">
        <v>46548</v>
      </c>
      <c r="C558" s="55" t="str">
        <f t="shared" si="8"/>
        <v>Thu</v>
      </c>
      <c r="D558" s="55"/>
      <c r="O558" s="49"/>
    </row>
    <row r="559" spans="1:15" hidden="1" x14ac:dyDescent="0.3">
      <c r="A559" s="49"/>
      <c r="B559" s="54">
        <v>46549</v>
      </c>
      <c r="C559" s="55" t="str">
        <f t="shared" si="8"/>
        <v>Fri</v>
      </c>
      <c r="D559" s="55"/>
      <c r="O559" s="49"/>
    </row>
    <row r="560" spans="1:15" hidden="1" x14ac:dyDescent="0.3">
      <c r="A560" s="49"/>
      <c r="B560" s="54">
        <v>46550</v>
      </c>
      <c r="C560" s="55" t="str">
        <f t="shared" si="8"/>
        <v>Sat</v>
      </c>
      <c r="D560" s="55"/>
      <c r="O560" s="49"/>
    </row>
    <row r="561" spans="1:15" hidden="1" x14ac:dyDescent="0.3">
      <c r="A561" s="49"/>
      <c r="B561" s="54">
        <v>46551</v>
      </c>
      <c r="C561" s="55" t="str">
        <f t="shared" si="8"/>
        <v>Sun</v>
      </c>
      <c r="D561" s="55"/>
      <c r="O561" s="49"/>
    </row>
    <row r="562" spans="1:15" hidden="1" x14ac:dyDescent="0.3">
      <c r="A562" s="49"/>
      <c r="B562" s="54">
        <v>46552</v>
      </c>
      <c r="C562" s="55" t="str">
        <f t="shared" si="8"/>
        <v>Mon</v>
      </c>
      <c r="D562" s="55"/>
      <c r="O562" s="49"/>
    </row>
    <row r="563" spans="1:15" hidden="1" x14ac:dyDescent="0.3">
      <c r="A563" s="49"/>
      <c r="B563" s="54">
        <v>46553</v>
      </c>
      <c r="C563" s="55" t="str">
        <f t="shared" si="8"/>
        <v>Tue</v>
      </c>
      <c r="D563" s="55"/>
      <c r="O563" s="49"/>
    </row>
    <row r="564" spans="1:15" hidden="1" x14ac:dyDescent="0.3">
      <c r="A564" s="49"/>
      <c r="B564" s="54">
        <v>46554</v>
      </c>
      <c r="C564" s="55" t="str">
        <f t="shared" si="8"/>
        <v>Wed</v>
      </c>
      <c r="D564" s="55"/>
      <c r="O564" s="49"/>
    </row>
    <row r="565" spans="1:15" hidden="1" x14ac:dyDescent="0.3">
      <c r="A565" s="49"/>
      <c r="B565" s="54">
        <v>46555</v>
      </c>
      <c r="C565" s="55" t="str">
        <f t="shared" si="8"/>
        <v>Thu</v>
      </c>
      <c r="D565" s="55"/>
      <c r="O565" s="49"/>
    </row>
    <row r="566" spans="1:15" hidden="1" x14ac:dyDescent="0.3">
      <c r="A566" s="49"/>
      <c r="B566" s="54">
        <v>46556</v>
      </c>
      <c r="C566" s="55" t="str">
        <f t="shared" si="8"/>
        <v>Fri</v>
      </c>
      <c r="D566" s="55"/>
      <c r="O566" s="49"/>
    </row>
    <row r="567" spans="1:15" hidden="1" x14ac:dyDescent="0.3">
      <c r="A567" s="49"/>
      <c r="B567" s="54">
        <v>46557</v>
      </c>
      <c r="C567" s="55" t="str">
        <f t="shared" si="8"/>
        <v>Sat</v>
      </c>
      <c r="D567" s="55"/>
      <c r="O567" s="49"/>
    </row>
    <row r="568" spans="1:15" hidden="1" x14ac:dyDescent="0.3">
      <c r="A568" s="49"/>
      <c r="B568" s="54">
        <v>46558</v>
      </c>
      <c r="C568" s="55" t="str">
        <f t="shared" si="8"/>
        <v>Sun</v>
      </c>
      <c r="D568" s="55"/>
      <c r="O568" s="49"/>
    </row>
    <row r="569" spans="1:15" hidden="1" x14ac:dyDescent="0.3">
      <c r="A569" s="49"/>
      <c r="B569" s="54">
        <v>46559</v>
      </c>
      <c r="C569" s="55" t="str">
        <f t="shared" si="8"/>
        <v>Mon</v>
      </c>
      <c r="D569" s="55"/>
      <c r="O569" s="49"/>
    </row>
    <row r="570" spans="1:15" hidden="1" x14ac:dyDescent="0.3">
      <c r="A570" s="49"/>
      <c r="B570" s="54">
        <v>46560</v>
      </c>
      <c r="C570" s="55" t="str">
        <f t="shared" si="8"/>
        <v>Tue</v>
      </c>
      <c r="D570" s="55"/>
      <c r="O570" s="49"/>
    </row>
    <row r="571" spans="1:15" hidden="1" x14ac:dyDescent="0.3">
      <c r="A571" s="49"/>
      <c r="B571" s="54">
        <v>46561</v>
      </c>
      <c r="C571" s="55" t="str">
        <f t="shared" si="8"/>
        <v>Wed</v>
      </c>
      <c r="D571" s="55"/>
      <c r="O571" s="49"/>
    </row>
    <row r="572" spans="1:15" hidden="1" x14ac:dyDescent="0.3">
      <c r="A572" s="49"/>
      <c r="B572" s="54">
        <v>46562</v>
      </c>
      <c r="C572" s="55" t="str">
        <f t="shared" si="8"/>
        <v>Thu</v>
      </c>
      <c r="D572" s="55"/>
      <c r="O572" s="49"/>
    </row>
    <row r="573" spans="1:15" hidden="1" x14ac:dyDescent="0.3">
      <c r="A573" s="49"/>
      <c r="B573" s="54">
        <v>46563</v>
      </c>
      <c r="C573" s="55" t="str">
        <f t="shared" si="8"/>
        <v>Fri</v>
      </c>
      <c r="D573" s="55"/>
      <c r="O573" s="49"/>
    </row>
    <row r="574" spans="1:15" hidden="1" x14ac:dyDescent="0.3">
      <c r="A574" s="49"/>
      <c r="B574" s="54">
        <v>46564</v>
      </c>
      <c r="C574" s="55" t="str">
        <f t="shared" si="8"/>
        <v>Sat</v>
      </c>
      <c r="D574" s="55"/>
      <c r="O574" s="49"/>
    </row>
    <row r="575" spans="1:15" hidden="1" x14ac:dyDescent="0.3">
      <c r="A575" s="49"/>
      <c r="B575" s="54">
        <v>46565</v>
      </c>
      <c r="C575" s="55" t="str">
        <f t="shared" si="8"/>
        <v>Sun</v>
      </c>
      <c r="D575" s="55"/>
      <c r="O575" s="49"/>
    </row>
    <row r="576" spans="1:15" hidden="1" x14ac:dyDescent="0.3">
      <c r="A576" s="49"/>
      <c r="B576" s="54">
        <v>46566</v>
      </c>
      <c r="C576" s="55" t="str">
        <f t="shared" si="8"/>
        <v>Mon</v>
      </c>
      <c r="D576" s="55"/>
      <c r="O576" s="49"/>
    </row>
    <row r="577" spans="1:15" hidden="1" x14ac:dyDescent="0.3">
      <c r="A577" s="49"/>
      <c r="B577" s="54">
        <v>46567</v>
      </c>
      <c r="C577" s="55" t="str">
        <f t="shared" si="8"/>
        <v>Tue</v>
      </c>
      <c r="D577" s="55"/>
      <c r="O577" s="49"/>
    </row>
    <row r="578" spans="1:15" hidden="1" x14ac:dyDescent="0.3">
      <c r="A578" s="49"/>
      <c r="B578" s="54">
        <v>46568</v>
      </c>
      <c r="C578" s="55" t="str">
        <f t="shared" si="8"/>
        <v>Wed</v>
      </c>
      <c r="D578" s="55"/>
      <c r="O578" s="49"/>
    </row>
    <row r="579" spans="1:15" hidden="1" x14ac:dyDescent="0.3">
      <c r="A579" s="49"/>
      <c r="B579" s="54">
        <v>46569</v>
      </c>
      <c r="C579" s="55" t="str">
        <f t="shared" si="8"/>
        <v>Thu</v>
      </c>
      <c r="D579" s="55"/>
      <c r="O579" s="49"/>
    </row>
    <row r="580" spans="1:15" hidden="1" x14ac:dyDescent="0.3">
      <c r="A580" s="49"/>
      <c r="B580" s="54">
        <v>46570</v>
      </c>
      <c r="C580" s="55" t="str">
        <f t="shared" si="8"/>
        <v>Fri</v>
      </c>
      <c r="D580" s="55"/>
      <c r="O580" s="49"/>
    </row>
    <row r="581" spans="1:15" hidden="1" x14ac:dyDescent="0.3">
      <c r="A581" s="49"/>
      <c r="B581" s="54">
        <v>46571</v>
      </c>
      <c r="C581" s="55" t="str">
        <f t="shared" si="8"/>
        <v>Sat</v>
      </c>
      <c r="D581" s="55"/>
      <c r="O581" s="49"/>
    </row>
    <row r="582" spans="1:15" hidden="1" x14ac:dyDescent="0.3">
      <c r="A582" s="49"/>
      <c r="B582" s="54">
        <v>46572</v>
      </c>
      <c r="C582" s="55" t="str">
        <f t="shared" si="8"/>
        <v>Sun</v>
      </c>
      <c r="D582" s="55"/>
      <c r="O582" s="49"/>
    </row>
    <row r="583" spans="1:15" hidden="1" x14ac:dyDescent="0.3">
      <c r="A583" s="49"/>
      <c r="B583" s="54">
        <v>46573</v>
      </c>
      <c r="C583" s="55" t="str">
        <f t="shared" si="8"/>
        <v>Mon</v>
      </c>
      <c r="D583" s="55"/>
      <c r="O583" s="49"/>
    </row>
    <row r="584" spans="1:15" hidden="1" x14ac:dyDescent="0.3">
      <c r="A584" s="49"/>
      <c r="B584" s="54">
        <v>46574</v>
      </c>
      <c r="C584" s="55" t="str">
        <f t="shared" si="8"/>
        <v>Tue</v>
      </c>
      <c r="D584" s="55"/>
      <c r="O584" s="49"/>
    </row>
    <row r="585" spans="1:15" hidden="1" x14ac:dyDescent="0.3">
      <c r="A585" s="49"/>
      <c r="B585" s="54">
        <v>46575</v>
      </c>
      <c r="C585" s="55" t="str">
        <f t="shared" si="8"/>
        <v>Wed</v>
      </c>
      <c r="D585" s="55"/>
      <c r="O585" s="49"/>
    </row>
    <row r="586" spans="1:15" hidden="1" x14ac:dyDescent="0.3">
      <c r="A586" s="49"/>
      <c r="B586" s="54">
        <v>46576</v>
      </c>
      <c r="C586" s="55" t="str">
        <f t="shared" si="8"/>
        <v>Thu</v>
      </c>
      <c r="D586" s="55"/>
      <c r="O586" s="49"/>
    </row>
    <row r="587" spans="1:15" hidden="1" x14ac:dyDescent="0.3">
      <c r="A587" s="49"/>
      <c r="B587" s="54">
        <v>46577</v>
      </c>
      <c r="C587" s="55" t="str">
        <f t="shared" si="8"/>
        <v>Fri</v>
      </c>
      <c r="D587" s="55"/>
      <c r="O587" s="49"/>
    </row>
    <row r="588" spans="1:15" hidden="1" x14ac:dyDescent="0.3">
      <c r="A588" s="49"/>
      <c r="B588" s="54">
        <v>46578</v>
      </c>
      <c r="C588" s="55" t="str">
        <f t="shared" si="8"/>
        <v>Sat</v>
      </c>
      <c r="D588" s="55"/>
      <c r="O588" s="49"/>
    </row>
    <row r="589" spans="1:15" hidden="1" x14ac:dyDescent="0.3">
      <c r="A589" s="49"/>
      <c r="B589" s="54">
        <v>46579</v>
      </c>
      <c r="C589" s="55" t="str">
        <f t="shared" si="8"/>
        <v>Sun</v>
      </c>
      <c r="D589" s="55"/>
      <c r="O589" s="49"/>
    </row>
    <row r="590" spans="1:15" hidden="1" x14ac:dyDescent="0.3">
      <c r="A590" s="49"/>
      <c r="B590" s="54">
        <v>46580</v>
      </c>
      <c r="C590" s="55" t="str">
        <f t="shared" si="8"/>
        <v>Mon</v>
      </c>
      <c r="D590" s="55"/>
      <c r="O590" s="49"/>
    </row>
    <row r="591" spans="1:15" hidden="1" x14ac:dyDescent="0.3">
      <c r="A591" s="49"/>
      <c r="B591" s="54">
        <v>46581</v>
      </c>
      <c r="C591" s="55" t="str">
        <f t="shared" si="8"/>
        <v>Tue</v>
      </c>
      <c r="D591" s="55"/>
      <c r="O591" s="49"/>
    </row>
    <row r="592" spans="1:15" hidden="1" x14ac:dyDescent="0.3">
      <c r="A592" s="49"/>
      <c r="B592" s="54">
        <v>46582</v>
      </c>
      <c r="C592" s="55" t="str">
        <f t="shared" si="8"/>
        <v>Wed</v>
      </c>
      <c r="D592" s="55"/>
      <c r="O592" s="49"/>
    </row>
    <row r="593" spans="1:15" hidden="1" x14ac:dyDescent="0.3">
      <c r="A593" s="49"/>
      <c r="B593" s="54">
        <v>46583</v>
      </c>
      <c r="C593" s="55" t="str">
        <f t="shared" si="8"/>
        <v>Thu</v>
      </c>
      <c r="D593" s="55"/>
      <c r="O593" s="49"/>
    </row>
    <row r="594" spans="1:15" hidden="1" x14ac:dyDescent="0.3">
      <c r="A594" s="49"/>
      <c r="B594" s="54">
        <v>46584</v>
      </c>
      <c r="C594" s="55" t="str">
        <f t="shared" si="8"/>
        <v>Fri</v>
      </c>
      <c r="D594" s="55"/>
      <c r="O594" s="49"/>
    </row>
    <row r="595" spans="1:15" hidden="1" x14ac:dyDescent="0.3">
      <c r="A595" s="49"/>
      <c r="B595" s="54">
        <v>46585</v>
      </c>
      <c r="C595" s="55" t="str">
        <f t="shared" si="8"/>
        <v>Sat</v>
      </c>
      <c r="D595" s="55"/>
      <c r="O595" s="49"/>
    </row>
    <row r="596" spans="1:15" hidden="1" x14ac:dyDescent="0.3">
      <c r="A596" s="49"/>
      <c r="B596" s="54">
        <v>46586</v>
      </c>
      <c r="C596" s="55" t="str">
        <f t="shared" si="8"/>
        <v>Sun</v>
      </c>
      <c r="D596" s="55"/>
      <c r="O596" s="49"/>
    </row>
    <row r="597" spans="1:15" hidden="1" x14ac:dyDescent="0.3">
      <c r="A597" s="49"/>
      <c r="B597" s="54">
        <v>46587</v>
      </c>
      <c r="C597" s="55" t="str">
        <f t="shared" si="8"/>
        <v>Mon</v>
      </c>
      <c r="D597" s="55"/>
      <c r="O597" s="49"/>
    </row>
    <row r="598" spans="1:15" hidden="1" x14ac:dyDescent="0.3">
      <c r="A598" s="49"/>
      <c r="B598" s="54">
        <v>46588</v>
      </c>
      <c r="C598" s="55" t="str">
        <f t="shared" si="8"/>
        <v>Tue</v>
      </c>
      <c r="D598" s="55"/>
      <c r="O598" s="49"/>
    </row>
    <row r="599" spans="1:15" hidden="1" x14ac:dyDescent="0.3">
      <c r="A599" s="49"/>
      <c r="B599" s="54">
        <v>46589</v>
      </c>
      <c r="C599" s="55" t="str">
        <f t="shared" si="8"/>
        <v>Wed</v>
      </c>
      <c r="D599" s="55"/>
      <c r="O599" s="49"/>
    </row>
    <row r="600" spans="1:15" hidden="1" x14ac:dyDescent="0.3">
      <c r="A600" s="49"/>
      <c r="B600" s="54">
        <v>46590</v>
      </c>
      <c r="C600" s="55" t="str">
        <f t="shared" si="8"/>
        <v>Thu</v>
      </c>
      <c r="D600" s="55"/>
      <c r="O600" s="49"/>
    </row>
    <row r="601" spans="1:15" hidden="1" x14ac:dyDescent="0.3">
      <c r="A601" s="49"/>
      <c r="B601" s="54">
        <v>46591</v>
      </c>
      <c r="C601" s="55" t="str">
        <f t="shared" si="8"/>
        <v>Fri</v>
      </c>
      <c r="D601" s="55"/>
      <c r="O601" s="49"/>
    </row>
    <row r="602" spans="1:15" hidden="1" x14ac:dyDescent="0.3">
      <c r="A602" s="49"/>
      <c r="B602" s="54">
        <v>46592</v>
      </c>
      <c r="C602" s="55" t="str">
        <f t="shared" si="8"/>
        <v>Sat</v>
      </c>
      <c r="D602" s="55"/>
      <c r="O602" s="49"/>
    </row>
    <row r="603" spans="1:15" hidden="1" x14ac:dyDescent="0.3">
      <c r="A603" s="49"/>
      <c r="B603" s="54">
        <v>46593</v>
      </c>
      <c r="C603" s="55" t="str">
        <f t="shared" si="8"/>
        <v>Sun</v>
      </c>
      <c r="D603" s="55"/>
      <c r="O603" s="49"/>
    </row>
    <row r="604" spans="1:15" hidden="1" x14ac:dyDescent="0.3">
      <c r="A604" s="49"/>
      <c r="B604" s="54">
        <v>46594</v>
      </c>
      <c r="C604" s="55" t="str">
        <f t="shared" si="8"/>
        <v>Mon</v>
      </c>
      <c r="D604" s="55"/>
      <c r="O604" s="49"/>
    </row>
    <row r="605" spans="1:15" hidden="1" x14ac:dyDescent="0.3">
      <c r="A605" s="49"/>
      <c r="B605" s="54">
        <v>46595</v>
      </c>
      <c r="C605" s="55" t="str">
        <f t="shared" si="8"/>
        <v>Tue</v>
      </c>
      <c r="D605" s="55"/>
      <c r="O605" s="49"/>
    </row>
    <row r="606" spans="1:15" hidden="1" x14ac:dyDescent="0.3">
      <c r="A606" s="49"/>
      <c r="B606" s="54">
        <v>46596</v>
      </c>
      <c r="C606" s="55" t="str">
        <f t="shared" si="8"/>
        <v>Wed</v>
      </c>
      <c r="D606" s="55"/>
      <c r="O606" s="49"/>
    </row>
    <row r="607" spans="1:15" hidden="1" x14ac:dyDescent="0.3">
      <c r="A607" s="49"/>
      <c r="B607" s="54">
        <v>46597</v>
      </c>
      <c r="C607" s="55" t="str">
        <f t="shared" si="8"/>
        <v>Thu</v>
      </c>
      <c r="D607" s="55"/>
      <c r="O607" s="49"/>
    </row>
    <row r="608" spans="1:15" hidden="1" x14ac:dyDescent="0.3">
      <c r="A608" s="49"/>
      <c r="B608" s="54">
        <v>46598</v>
      </c>
      <c r="C608" s="55" t="str">
        <f t="shared" si="8"/>
        <v>Fri</v>
      </c>
      <c r="D608" s="55"/>
      <c r="O608" s="49"/>
    </row>
    <row r="609" spans="1:15" hidden="1" x14ac:dyDescent="0.3">
      <c r="A609" s="49"/>
      <c r="B609" s="54">
        <v>46599</v>
      </c>
      <c r="C609" s="55" t="str">
        <f t="shared" si="8"/>
        <v>Sat</v>
      </c>
      <c r="D609" s="55"/>
      <c r="O609" s="49"/>
    </row>
    <row r="610" spans="1:15" hidden="1" x14ac:dyDescent="0.3">
      <c r="A610" s="49"/>
      <c r="B610" s="54">
        <v>46600</v>
      </c>
      <c r="C610" s="55" t="str">
        <f t="shared" ref="C610:C673" si="9">TEXT(B610,"ddd")</f>
        <v>Sun</v>
      </c>
      <c r="D610" s="55"/>
      <c r="O610" s="49"/>
    </row>
    <row r="611" spans="1:15" hidden="1" x14ac:dyDescent="0.3">
      <c r="A611" s="49"/>
      <c r="B611" s="54">
        <v>46601</v>
      </c>
      <c r="C611" s="55" t="str">
        <f t="shared" si="9"/>
        <v>Mon</v>
      </c>
      <c r="D611" s="55"/>
      <c r="O611" s="49"/>
    </row>
    <row r="612" spans="1:15" hidden="1" x14ac:dyDescent="0.3">
      <c r="A612" s="49"/>
      <c r="B612" s="54">
        <v>46602</v>
      </c>
      <c r="C612" s="55" t="str">
        <f t="shared" si="9"/>
        <v>Tue</v>
      </c>
      <c r="D612" s="55"/>
      <c r="O612" s="49"/>
    </row>
    <row r="613" spans="1:15" hidden="1" x14ac:dyDescent="0.3">
      <c r="A613" s="49"/>
      <c r="B613" s="54">
        <v>46603</v>
      </c>
      <c r="C613" s="55" t="str">
        <f t="shared" si="9"/>
        <v>Wed</v>
      </c>
      <c r="D613" s="55"/>
      <c r="O613" s="49"/>
    </row>
    <row r="614" spans="1:15" hidden="1" x14ac:dyDescent="0.3">
      <c r="A614" s="49"/>
      <c r="B614" s="54">
        <v>46604</v>
      </c>
      <c r="C614" s="55" t="str">
        <f t="shared" si="9"/>
        <v>Thu</v>
      </c>
      <c r="D614" s="55"/>
      <c r="O614" s="49"/>
    </row>
    <row r="615" spans="1:15" hidden="1" x14ac:dyDescent="0.3">
      <c r="A615" s="49"/>
      <c r="B615" s="54">
        <v>46605</v>
      </c>
      <c r="C615" s="55" t="str">
        <f t="shared" si="9"/>
        <v>Fri</v>
      </c>
      <c r="D615" s="55"/>
      <c r="O615" s="49"/>
    </row>
    <row r="616" spans="1:15" hidden="1" x14ac:dyDescent="0.3">
      <c r="A616" s="49"/>
      <c r="B616" s="54">
        <v>46606</v>
      </c>
      <c r="C616" s="55" t="str">
        <f t="shared" si="9"/>
        <v>Sat</v>
      </c>
      <c r="D616" s="55"/>
      <c r="O616" s="49"/>
    </row>
    <row r="617" spans="1:15" hidden="1" x14ac:dyDescent="0.3">
      <c r="A617" s="49"/>
      <c r="B617" s="54">
        <v>46607</v>
      </c>
      <c r="C617" s="55" t="str">
        <f t="shared" si="9"/>
        <v>Sun</v>
      </c>
      <c r="D617" s="55"/>
      <c r="O617" s="49"/>
    </row>
    <row r="618" spans="1:15" hidden="1" x14ac:dyDescent="0.3">
      <c r="A618" s="49"/>
      <c r="B618" s="54">
        <v>46608</v>
      </c>
      <c r="C618" s="55" t="str">
        <f t="shared" si="9"/>
        <v>Mon</v>
      </c>
      <c r="D618" s="55"/>
      <c r="O618" s="49"/>
    </row>
    <row r="619" spans="1:15" hidden="1" x14ac:dyDescent="0.3">
      <c r="A619" s="49"/>
      <c r="B619" s="54">
        <v>46609</v>
      </c>
      <c r="C619" s="55" t="str">
        <f t="shared" si="9"/>
        <v>Tue</v>
      </c>
      <c r="D619" s="55"/>
      <c r="O619" s="49"/>
    </row>
    <row r="620" spans="1:15" hidden="1" x14ac:dyDescent="0.3">
      <c r="A620" s="49"/>
      <c r="B620" s="54">
        <v>46610</v>
      </c>
      <c r="C620" s="55" t="str">
        <f t="shared" si="9"/>
        <v>Wed</v>
      </c>
      <c r="D620" s="55"/>
      <c r="O620" s="49"/>
    </row>
    <row r="621" spans="1:15" hidden="1" x14ac:dyDescent="0.3">
      <c r="A621" s="49"/>
      <c r="B621" s="54">
        <v>46611</v>
      </c>
      <c r="C621" s="55" t="str">
        <f t="shared" si="9"/>
        <v>Thu</v>
      </c>
      <c r="D621" s="55"/>
      <c r="O621" s="49"/>
    </row>
    <row r="622" spans="1:15" hidden="1" x14ac:dyDescent="0.3">
      <c r="A622" s="49"/>
      <c r="B622" s="54">
        <v>46612</v>
      </c>
      <c r="C622" s="55" t="str">
        <f t="shared" si="9"/>
        <v>Fri</v>
      </c>
      <c r="D622" s="55"/>
      <c r="O622" s="49"/>
    </row>
    <row r="623" spans="1:15" hidden="1" x14ac:dyDescent="0.3">
      <c r="A623" s="49"/>
      <c r="B623" s="54">
        <v>46613</v>
      </c>
      <c r="C623" s="55" t="str">
        <f t="shared" si="9"/>
        <v>Sat</v>
      </c>
      <c r="D623" s="55"/>
      <c r="O623" s="49"/>
    </row>
    <row r="624" spans="1:15" hidden="1" x14ac:dyDescent="0.3">
      <c r="A624" s="49"/>
      <c r="B624" s="54">
        <v>46614</v>
      </c>
      <c r="C624" s="55" t="str">
        <f t="shared" si="9"/>
        <v>Sun</v>
      </c>
      <c r="D624" s="55"/>
      <c r="O624" s="49"/>
    </row>
    <row r="625" spans="1:15" hidden="1" x14ac:dyDescent="0.3">
      <c r="A625" s="49"/>
      <c r="B625" s="54">
        <v>46615</v>
      </c>
      <c r="C625" s="55" t="str">
        <f t="shared" si="9"/>
        <v>Mon</v>
      </c>
      <c r="D625" s="55"/>
      <c r="O625" s="49"/>
    </row>
    <row r="626" spans="1:15" hidden="1" x14ac:dyDescent="0.3">
      <c r="A626" s="49"/>
      <c r="B626" s="54">
        <v>46616</v>
      </c>
      <c r="C626" s="55" t="str">
        <f t="shared" si="9"/>
        <v>Tue</v>
      </c>
      <c r="D626" s="55"/>
      <c r="O626" s="49"/>
    </row>
    <row r="627" spans="1:15" hidden="1" x14ac:dyDescent="0.3">
      <c r="A627" s="49"/>
      <c r="B627" s="54">
        <v>46617</v>
      </c>
      <c r="C627" s="55" t="str">
        <f t="shared" si="9"/>
        <v>Wed</v>
      </c>
      <c r="D627" s="55"/>
      <c r="O627" s="49"/>
    </row>
    <row r="628" spans="1:15" hidden="1" x14ac:dyDescent="0.3">
      <c r="A628" s="49"/>
      <c r="B628" s="54">
        <v>46618</v>
      </c>
      <c r="C628" s="55" t="str">
        <f t="shared" si="9"/>
        <v>Thu</v>
      </c>
      <c r="D628" s="55"/>
      <c r="O628" s="49"/>
    </row>
    <row r="629" spans="1:15" hidden="1" x14ac:dyDescent="0.3">
      <c r="A629" s="49"/>
      <c r="B629" s="54">
        <v>46619</v>
      </c>
      <c r="C629" s="55" t="str">
        <f t="shared" si="9"/>
        <v>Fri</v>
      </c>
      <c r="D629" s="55"/>
      <c r="O629" s="49"/>
    </row>
    <row r="630" spans="1:15" hidden="1" x14ac:dyDescent="0.3">
      <c r="A630" s="49"/>
      <c r="B630" s="54">
        <v>46620</v>
      </c>
      <c r="C630" s="55" t="str">
        <f t="shared" si="9"/>
        <v>Sat</v>
      </c>
      <c r="D630" s="55"/>
      <c r="O630" s="49"/>
    </row>
    <row r="631" spans="1:15" hidden="1" x14ac:dyDescent="0.3">
      <c r="A631" s="49"/>
      <c r="B631" s="54">
        <v>46621</v>
      </c>
      <c r="C631" s="55" t="str">
        <f t="shared" si="9"/>
        <v>Sun</v>
      </c>
      <c r="D631" s="55"/>
      <c r="O631" s="49"/>
    </row>
    <row r="632" spans="1:15" hidden="1" x14ac:dyDescent="0.3">
      <c r="A632" s="49"/>
      <c r="B632" s="54">
        <v>46622</v>
      </c>
      <c r="C632" s="55" t="str">
        <f t="shared" si="9"/>
        <v>Mon</v>
      </c>
      <c r="D632" s="55"/>
      <c r="O632" s="49"/>
    </row>
    <row r="633" spans="1:15" hidden="1" x14ac:dyDescent="0.3">
      <c r="A633" s="49"/>
      <c r="B633" s="54">
        <v>46623</v>
      </c>
      <c r="C633" s="55" t="str">
        <f t="shared" si="9"/>
        <v>Tue</v>
      </c>
      <c r="D633" s="55"/>
      <c r="O633" s="49"/>
    </row>
    <row r="634" spans="1:15" hidden="1" x14ac:dyDescent="0.3">
      <c r="A634" s="49"/>
      <c r="B634" s="54">
        <v>46624</v>
      </c>
      <c r="C634" s="55" t="str">
        <f t="shared" si="9"/>
        <v>Wed</v>
      </c>
      <c r="D634" s="55"/>
      <c r="O634" s="49"/>
    </row>
    <row r="635" spans="1:15" hidden="1" x14ac:dyDescent="0.3">
      <c r="A635" s="49"/>
      <c r="B635" s="54">
        <v>46625</v>
      </c>
      <c r="C635" s="55" t="str">
        <f t="shared" si="9"/>
        <v>Thu</v>
      </c>
      <c r="D635" s="55"/>
      <c r="O635" s="49"/>
    </row>
    <row r="636" spans="1:15" hidden="1" x14ac:dyDescent="0.3">
      <c r="A636" s="49"/>
      <c r="B636" s="54">
        <v>46626</v>
      </c>
      <c r="C636" s="55" t="str">
        <f t="shared" si="9"/>
        <v>Fri</v>
      </c>
      <c r="D636" s="55"/>
      <c r="O636" s="49"/>
    </row>
    <row r="637" spans="1:15" hidden="1" x14ac:dyDescent="0.3">
      <c r="A637" s="49"/>
      <c r="B637" s="54">
        <v>46627</v>
      </c>
      <c r="C637" s="55" t="str">
        <f t="shared" si="9"/>
        <v>Sat</v>
      </c>
      <c r="D637" s="55"/>
      <c r="O637" s="49"/>
    </row>
    <row r="638" spans="1:15" hidden="1" x14ac:dyDescent="0.3">
      <c r="A638" s="49"/>
      <c r="B638" s="54">
        <v>46628</v>
      </c>
      <c r="C638" s="55" t="str">
        <f t="shared" si="9"/>
        <v>Sun</v>
      </c>
      <c r="D638" s="55"/>
      <c r="O638" s="49"/>
    </row>
    <row r="639" spans="1:15" hidden="1" x14ac:dyDescent="0.3">
      <c r="A639" s="49"/>
      <c r="B639" s="54">
        <v>46629</v>
      </c>
      <c r="C639" s="55" t="str">
        <f t="shared" si="9"/>
        <v>Mon</v>
      </c>
      <c r="D639" s="55"/>
      <c r="O639" s="49"/>
    </row>
    <row r="640" spans="1:15" hidden="1" x14ac:dyDescent="0.3">
      <c r="A640" s="49"/>
      <c r="B640" s="54">
        <v>46630</v>
      </c>
      <c r="C640" s="55" t="str">
        <f t="shared" si="9"/>
        <v>Tue</v>
      </c>
      <c r="D640" s="55"/>
      <c r="O640" s="49"/>
    </row>
    <row r="641" spans="1:15" hidden="1" x14ac:dyDescent="0.3">
      <c r="A641" s="49"/>
      <c r="B641" s="54">
        <v>46631</v>
      </c>
      <c r="C641" s="55" t="str">
        <f t="shared" si="9"/>
        <v>Wed</v>
      </c>
      <c r="D641" s="55"/>
      <c r="O641" s="49"/>
    </row>
    <row r="642" spans="1:15" hidden="1" x14ac:dyDescent="0.3">
      <c r="A642" s="49"/>
      <c r="B642" s="54">
        <v>46632</v>
      </c>
      <c r="C642" s="55" t="str">
        <f t="shared" si="9"/>
        <v>Thu</v>
      </c>
      <c r="D642" s="55"/>
      <c r="O642" s="49"/>
    </row>
    <row r="643" spans="1:15" hidden="1" x14ac:dyDescent="0.3">
      <c r="A643" s="49"/>
      <c r="B643" s="54">
        <v>46633</v>
      </c>
      <c r="C643" s="55" t="str">
        <f t="shared" si="9"/>
        <v>Fri</v>
      </c>
      <c r="D643" s="55"/>
      <c r="O643" s="49"/>
    </row>
    <row r="644" spans="1:15" hidden="1" x14ac:dyDescent="0.3">
      <c r="A644" s="49"/>
      <c r="B644" s="54">
        <v>46634</v>
      </c>
      <c r="C644" s="55" t="str">
        <f t="shared" si="9"/>
        <v>Sat</v>
      </c>
      <c r="D644" s="55"/>
      <c r="O644" s="49"/>
    </row>
    <row r="645" spans="1:15" hidden="1" x14ac:dyDescent="0.3">
      <c r="A645" s="49"/>
      <c r="B645" s="54">
        <v>46635</v>
      </c>
      <c r="C645" s="55" t="str">
        <f t="shared" si="9"/>
        <v>Sun</v>
      </c>
      <c r="D645" s="55"/>
      <c r="O645" s="49"/>
    </row>
    <row r="646" spans="1:15" hidden="1" x14ac:dyDescent="0.3">
      <c r="A646" s="49"/>
      <c r="B646" s="54">
        <v>46636</v>
      </c>
      <c r="C646" s="55" t="str">
        <f t="shared" si="9"/>
        <v>Mon</v>
      </c>
      <c r="D646" s="55"/>
      <c r="O646" s="49"/>
    </row>
    <row r="647" spans="1:15" hidden="1" x14ac:dyDescent="0.3">
      <c r="A647" s="49"/>
      <c r="B647" s="54">
        <v>46637</v>
      </c>
      <c r="C647" s="55" t="str">
        <f t="shared" si="9"/>
        <v>Tue</v>
      </c>
      <c r="D647" s="55"/>
      <c r="O647" s="49"/>
    </row>
    <row r="648" spans="1:15" hidden="1" x14ac:dyDescent="0.3">
      <c r="A648" s="49"/>
      <c r="B648" s="54">
        <v>46638</v>
      </c>
      <c r="C648" s="55" t="str">
        <f t="shared" si="9"/>
        <v>Wed</v>
      </c>
      <c r="D648" s="55"/>
      <c r="O648" s="49"/>
    </row>
    <row r="649" spans="1:15" hidden="1" x14ac:dyDescent="0.3">
      <c r="A649" s="49"/>
      <c r="B649" s="54">
        <v>46639</v>
      </c>
      <c r="C649" s="55" t="str">
        <f t="shared" si="9"/>
        <v>Thu</v>
      </c>
      <c r="D649" s="55"/>
      <c r="O649" s="49"/>
    </row>
    <row r="650" spans="1:15" hidden="1" x14ac:dyDescent="0.3">
      <c r="A650" s="49"/>
      <c r="B650" s="54">
        <v>46640</v>
      </c>
      <c r="C650" s="55" t="str">
        <f t="shared" si="9"/>
        <v>Fri</v>
      </c>
      <c r="D650" s="55"/>
      <c r="O650" s="49"/>
    </row>
    <row r="651" spans="1:15" hidden="1" x14ac:dyDescent="0.3">
      <c r="A651" s="49"/>
      <c r="B651" s="54">
        <v>46641</v>
      </c>
      <c r="C651" s="55" t="str">
        <f t="shared" si="9"/>
        <v>Sat</v>
      </c>
      <c r="D651" s="55"/>
      <c r="O651" s="49"/>
    </row>
    <row r="652" spans="1:15" hidden="1" x14ac:dyDescent="0.3">
      <c r="A652" s="49"/>
      <c r="B652" s="54">
        <v>46642</v>
      </c>
      <c r="C652" s="55" t="str">
        <f t="shared" si="9"/>
        <v>Sun</v>
      </c>
      <c r="D652" s="55"/>
      <c r="O652" s="49"/>
    </row>
    <row r="653" spans="1:15" hidden="1" x14ac:dyDescent="0.3">
      <c r="A653" s="49"/>
      <c r="B653" s="54">
        <v>46643</v>
      </c>
      <c r="C653" s="55" t="str">
        <f t="shared" si="9"/>
        <v>Mon</v>
      </c>
      <c r="D653" s="55"/>
      <c r="O653" s="49"/>
    </row>
    <row r="654" spans="1:15" hidden="1" x14ac:dyDescent="0.3">
      <c r="A654" s="49"/>
      <c r="B654" s="54">
        <v>46644</v>
      </c>
      <c r="C654" s="55" t="str">
        <f t="shared" si="9"/>
        <v>Tue</v>
      </c>
      <c r="D654" s="55"/>
      <c r="O654" s="49"/>
    </row>
    <row r="655" spans="1:15" hidden="1" x14ac:dyDescent="0.3">
      <c r="A655" s="49"/>
      <c r="B655" s="54">
        <v>46645</v>
      </c>
      <c r="C655" s="55" t="str">
        <f t="shared" si="9"/>
        <v>Wed</v>
      </c>
      <c r="D655" s="55"/>
      <c r="O655" s="49"/>
    </row>
    <row r="656" spans="1:15" hidden="1" x14ac:dyDescent="0.3">
      <c r="A656" s="49"/>
      <c r="B656" s="54">
        <v>46646</v>
      </c>
      <c r="C656" s="55" t="str">
        <f t="shared" si="9"/>
        <v>Thu</v>
      </c>
      <c r="D656" s="55"/>
      <c r="O656" s="49"/>
    </row>
    <row r="657" spans="1:15" hidden="1" x14ac:dyDescent="0.3">
      <c r="A657" s="49"/>
      <c r="B657" s="54">
        <v>46647</v>
      </c>
      <c r="C657" s="55" t="str">
        <f t="shared" si="9"/>
        <v>Fri</v>
      </c>
      <c r="D657" s="55"/>
      <c r="O657" s="49"/>
    </row>
    <row r="658" spans="1:15" hidden="1" x14ac:dyDescent="0.3">
      <c r="A658" s="49"/>
      <c r="B658" s="54">
        <v>46648</v>
      </c>
      <c r="C658" s="55" t="str">
        <f t="shared" si="9"/>
        <v>Sat</v>
      </c>
      <c r="D658" s="55"/>
      <c r="O658" s="49"/>
    </row>
    <row r="659" spans="1:15" hidden="1" x14ac:dyDescent="0.3">
      <c r="A659" s="49"/>
      <c r="B659" s="54">
        <v>46649</v>
      </c>
      <c r="C659" s="55" t="str">
        <f t="shared" si="9"/>
        <v>Sun</v>
      </c>
      <c r="D659" s="55"/>
      <c r="O659" s="49"/>
    </row>
    <row r="660" spans="1:15" hidden="1" x14ac:dyDescent="0.3">
      <c r="A660" s="49"/>
      <c r="B660" s="54">
        <v>46650</v>
      </c>
      <c r="C660" s="55" t="str">
        <f t="shared" si="9"/>
        <v>Mon</v>
      </c>
      <c r="D660" s="55"/>
      <c r="O660" s="49"/>
    </row>
    <row r="661" spans="1:15" hidden="1" x14ac:dyDescent="0.3">
      <c r="A661" s="49"/>
      <c r="B661" s="54">
        <v>46651</v>
      </c>
      <c r="C661" s="55" t="str">
        <f t="shared" si="9"/>
        <v>Tue</v>
      </c>
      <c r="D661" s="55"/>
      <c r="O661" s="49"/>
    </row>
    <row r="662" spans="1:15" hidden="1" x14ac:dyDescent="0.3">
      <c r="A662" s="49"/>
      <c r="B662" s="54">
        <v>46652</v>
      </c>
      <c r="C662" s="55" t="str">
        <f t="shared" si="9"/>
        <v>Wed</v>
      </c>
      <c r="D662" s="55"/>
      <c r="O662" s="49"/>
    </row>
    <row r="663" spans="1:15" hidden="1" x14ac:dyDescent="0.3">
      <c r="A663" s="49"/>
      <c r="B663" s="54">
        <v>46653</v>
      </c>
      <c r="C663" s="55" t="str">
        <f t="shared" si="9"/>
        <v>Thu</v>
      </c>
      <c r="D663" s="55"/>
      <c r="O663" s="49"/>
    </row>
    <row r="664" spans="1:15" hidden="1" x14ac:dyDescent="0.3">
      <c r="A664" s="49"/>
      <c r="B664" s="54">
        <v>46654</v>
      </c>
      <c r="C664" s="55" t="str">
        <f t="shared" si="9"/>
        <v>Fri</v>
      </c>
      <c r="D664" s="55"/>
      <c r="O664" s="49"/>
    </row>
    <row r="665" spans="1:15" hidden="1" x14ac:dyDescent="0.3">
      <c r="A665" s="49"/>
      <c r="B665" s="54">
        <v>46655</v>
      </c>
      <c r="C665" s="55" t="str">
        <f t="shared" si="9"/>
        <v>Sat</v>
      </c>
      <c r="D665" s="55"/>
      <c r="O665" s="49"/>
    </row>
    <row r="666" spans="1:15" hidden="1" x14ac:dyDescent="0.3">
      <c r="A666" s="49"/>
      <c r="B666" s="54">
        <v>46656</v>
      </c>
      <c r="C666" s="55" t="str">
        <f t="shared" si="9"/>
        <v>Sun</v>
      </c>
      <c r="D666" s="55"/>
      <c r="O666" s="49"/>
    </row>
    <row r="667" spans="1:15" hidden="1" x14ac:dyDescent="0.3">
      <c r="A667" s="49"/>
      <c r="B667" s="54">
        <v>46657</v>
      </c>
      <c r="C667" s="55" t="str">
        <f t="shared" si="9"/>
        <v>Mon</v>
      </c>
      <c r="D667" s="55"/>
      <c r="O667" s="49"/>
    </row>
    <row r="668" spans="1:15" hidden="1" x14ac:dyDescent="0.3">
      <c r="A668" s="49"/>
      <c r="B668" s="54">
        <v>46658</v>
      </c>
      <c r="C668" s="55" t="str">
        <f t="shared" si="9"/>
        <v>Tue</v>
      </c>
      <c r="D668" s="55"/>
      <c r="O668" s="49"/>
    </row>
    <row r="669" spans="1:15" hidden="1" x14ac:dyDescent="0.3">
      <c r="A669" s="49"/>
      <c r="B669" s="54">
        <v>46659</v>
      </c>
      <c r="C669" s="55" t="str">
        <f t="shared" si="9"/>
        <v>Wed</v>
      </c>
      <c r="D669" s="55"/>
      <c r="O669" s="49"/>
    </row>
    <row r="670" spans="1:15" hidden="1" x14ac:dyDescent="0.3">
      <c r="A670" s="49"/>
      <c r="B670" s="54">
        <v>46660</v>
      </c>
      <c r="C670" s="55" t="str">
        <f t="shared" si="9"/>
        <v>Thu</v>
      </c>
      <c r="D670" s="55"/>
      <c r="O670" s="49"/>
    </row>
    <row r="671" spans="1:15" hidden="1" x14ac:dyDescent="0.3">
      <c r="A671" s="49"/>
      <c r="B671" s="54">
        <v>46661</v>
      </c>
      <c r="C671" s="55" t="str">
        <f t="shared" si="9"/>
        <v>Fri</v>
      </c>
      <c r="D671" s="55"/>
      <c r="O671" s="49"/>
    </row>
    <row r="672" spans="1:15" hidden="1" x14ac:dyDescent="0.3">
      <c r="A672" s="49"/>
      <c r="B672" s="54">
        <v>46662</v>
      </c>
      <c r="C672" s="55" t="str">
        <f t="shared" si="9"/>
        <v>Sat</v>
      </c>
      <c r="D672" s="55"/>
      <c r="O672" s="49"/>
    </row>
    <row r="673" spans="1:15" hidden="1" x14ac:dyDescent="0.3">
      <c r="A673" s="49"/>
      <c r="B673" s="54">
        <v>46663</v>
      </c>
      <c r="C673" s="55" t="str">
        <f t="shared" si="9"/>
        <v>Sun</v>
      </c>
      <c r="D673" s="55"/>
      <c r="O673" s="49"/>
    </row>
    <row r="674" spans="1:15" hidden="1" x14ac:dyDescent="0.3">
      <c r="A674" s="49"/>
      <c r="B674" s="54">
        <v>46664</v>
      </c>
      <c r="C674" s="55" t="str">
        <f t="shared" ref="C674:C737" si="10">TEXT(B674,"ddd")</f>
        <v>Mon</v>
      </c>
      <c r="D674" s="55"/>
      <c r="O674" s="49"/>
    </row>
    <row r="675" spans="1:15" hidden="1" x14ac:dyDescent="0.3">
      <c r="A675" s="49"/>
      <c r="B675" s="54">
        <v>46665</v>
      </c>
      <c r="C675" s="55" t="str">
        <f t="shared" si="10"/>
        <v>Tue</v>
      </c>
      <c r="D675" s="55"/>
      <c r="O675" s="49"/>
    </row>
    <row r="676" spans="1:15" hidden="1" x14ac:dyDescent="0.3">
      <c r="A676" s="49"/>
      <c r="B676" s="54">
        <v>46666</v>
      </c>
      <c r="C676" s="55" t="str">
        <f t="shared" si="10"/>
        <v>Wed</v>
      </c>
      <c r="D676" s="55"/>
      <c r="O676" s="49"/>
    </row>
    <row r="677" spans="1:15" hidden="1" x14ac:dyDescent="0.3">
      <c r="A677" s="49"/>
      <c r="B677" s="54">
        <v>46667</v>
      </c>
      <c r="C677" s="55" t="str">
        <f t="shared" si="10"/>
        <v>Thu</v>
      </c>
      <c r="D677" s="55"/>
      <c r="O677" s="49"/>
    </row>
    <row r="678" spans="1:15" hidden="1" x14ac:dyDescent="0.3">
      <c r="A678" s="49"/>
      <c r="B678" s="54">
        <v>46668</v>
      </c>
      <c r="C678" s="55" t="str">
        <f t="shared" si="10"/>
        <v>Fri</v>
      </c>
      <c r="D678" s="55"/>
      <c r="O678" s="49"/>
    </row>
    <row r="679" spans="1:15" hidden="1" x14ac:dyDescent="0.3">
      <c r="A679" s="49"/>
      <c r="B679" s="54">
        <v>46669</v>
      </c>
      <c r="C679" s="55" t="str">
        <f t="shared" si="10"/>
        <v>Sat</v>
      </c>
      <c r="D679" s="55"/>
      <c r="O679" s="49"/>
    </row>
    <row r="680" spans="1:15" hidden="1" x14ac:dyDescent="0.3">
      <c r="A680" s="49"/>
      <c r="B680" s="54">
        <v>46670</v>
      </c>
      <c r="C680" s="55" t="str">
        <f t="shared" si="10"/>
        <v>Sun</v>
      </c>
      <c r="D680" s="55"/>
      <c r="O680" s="49"/>
    </row>
    <row r="681" spans="1:15" hidden="1" x14ac:dyDescent="0.3">
      <c r="A681" s="49"/>
      <c r="B681" s="54">
        <v>46671</v>
      </c>
      <c r="C681" s="55" t="str">
        <f t="shared" si="10"/>
        <v>Mon</v>
      </c>
      <c r="D681" s="55"/>
      <c r="O681" s="49"/>
    </row>
    <row r="682" spans="1:15" hidden="1" x14ac:dyDescent="0.3">
      <c r="A682" s="49"/>
      <c r="B682" s="54">
        <v>46672</v>
      </c>
      <c r="C682" s="55" t="str">
        <f t="shared" si="10"/>
        <v>Tue</v>
      </c>
      <c r="D682" s="55"/>
      <c r="O682" s="49"/>
    </row>
    <row r="683" spans="1:15" hidden="1" x14ac:dyDescent="0.3">
      <c r="A683" s="49"/>
      <c r="B683" s="54">
        <v>46673</v>
      </c>
      <c r="C683" s="55" t="str">
        <f t="shared" si="10"/>
        <v>Wed</v>
      </c>
      <c r="D683" s="55"/>
      <c r="O683" s="49"/>
    </row>
    <row r="684" spans="1:15" hidden="1" x14ac:dyDescent="0.3">
      <c r="A684" s="49"/>
      <c r="B684" s="54">
        <v>46674</v>
      </c>
      <c r="C684" s="55" t="str">
        <f t="shared" si="10"/>
        <v>Thu</v>
      </c>
      <c r="D684" s="55"/>
      <c r="O684" s="49"/>
    </row>
    <row r="685" spans="1:15" hidden="1" x14ac:dyDescent="0.3">
      <c r="A685" s="49"/>
      <c r="B685" s="54">
        <v>46675</v>
      </c>
      <c r="C685" s="55" t="str">
        <f t="shared" si="10"/>
        <v>Fri</v>
      </c>
      <c r="D685" s="55"/>
      <c r="O685" s="49"/>
    </row>
    <row r="686" spans="1:15" hidden="1" x14ac:dyDescent="0.3">
      <c r="A686" s="49"/>
      <c r="B686" s="54">
        <v>46676</v>
      </c>
      <c r="C686" s="55" t="str">
        <f t="shared" si="10"/>
        <v>Sat</v>
      </c>
      <c r="D686" s="55"/>
      <c r="O686" s="49"/>
    </row>
    <row r="687" spans="1:15" hidden="1" x14ac:dyDescent="0.3">
      <c r="A687" s="49"/>
      <c r="B687" s="54">
        <v>46677</v>
      </c>
      <c r="C687" s="55" t="str">
        <f t="shared" si="10"/>
        <v>Sun</v>
      </c>
      <c r="D687" s="55"/>
      <c r="O687" s="49"/>
    </row>
    <row r="688" spans="1:15" hidden="1" x14ac:dyDescent="0.3">
      <c r="A688" s="49"/>
      <c r="B688" s="54">
        <v>46678</v>
      </c>
      <c r="C688" s="55" t="str">
        <f t="shared" si="10"/>
        <v>Mon</v>
      </c>
      <c r="D688" s="55"/>
      <c r="O688" s="49"/>
    </row>
    <row r="689" spans="1:15" hidden="1" x14ac:dyDescent="0.3">
      <c r="A689" s="49"/>
      <c r="B689" s="54">
        <v>46679</v>
      </c>
      <c r="C689" s="55" t="str">
        <f t="shared" si="10"/>
        <v>Tue</v>
      </c>
      <c r="D689" s="55"/>
      <c r="O689" s="49"/>
    </row>
    <row r="690" spans="1:15" hidden="1" x14ac:dyDescent="0.3">
      <c r="A690" s="49"/>
      <c r="B690" s="54">
        <v>46680</v>
      </c>
      <c r="C690" s="55" t="str">
        <f t="shared" si="10"/>
        <v>Wed</v>
      </c>
      <c r="D690" s="55"/>
      <c r="O690" s="49"/>
    </row>
    <row r="691" spans="1:15" hidden="1" x14ac:dyDescent="0.3">
      <c r="A691" s="49"/>
      <c r="B691" s="54">
        <v>46681</v>
      </c>
      <c r="C691" s="55" t="str">
        <f t="shared" si="10"/>
        <v>Thu</v>
      </c>
      <c r="D691" s="55"/>
      <c r="O691" s="49"/>
    </row>
    <row r="692" spans="1:15" hidden="1" x14ac:dyDescent="0.3">
      <c r="A692" s="49"/>
      <c r="B692" s="54">
        <v>46682</v>
      </c>
      <c r="C692" s="55" t="str">
        <f t="shared" si="10"/>
        <v>Fri</v>
      </c>
      <c r="D692" s="55"/>
      <c r="O692" s="49"/>
    </row>
    <row r="693" spans="1:15" hidden="1" x14ac:dyDescent="0.3">
      <c r="A693" s="49"/>
      <c r="B693" s="54">
        <v>46683</v>
      </c>
      <c r="C693" s="55" t="str">
        <f t="shared" si="10"/>
        <v>Sat</v>
      </c>
      <c r="D693" s="55"/>
      <c r="O693" s="49"/>
    </row>
    <row r="694" spans="1:15" hidden="1" x14ac:dyDescent="0.3">
      <c r="A694" s="49"/>
      <c r="B694" s="54">
        <v>46684</v>
      </c>
      <c r="C694" s="55" t="str">
        <f t="shared" si="10"/>
        <v>Sun</v>
      </c>
      <c r="D694" s="55"/>
      <c r="O694" s="49"/>
    </row>
    <row r="695" spans="1:15" hidden="1" x14ac:dyDescent="0.3">
      <c r="A695" s="49"/>
      <c r="B695" s="54">
        <v>46685</v>
      </c>
      <c r="C695" s="55" t="str">
        <f t="shared" si="10"/>
        <v>Mon</v>
      </c>
      <c r="D695" s="55"/>
      <c r="O695" s="49"/>
    </row>
    <row r="696" spans="1:15" hidden="1" x14ac:dyDescent="0.3">
      <c r="A696" s="49"/>
      <c r="B696" s="54">
        <v>46686</v>
      </c>
      <c r="C696" s="55" t="str">
        <f t="shared" si="10"/>
        <v>Tue</v>
      </c>
      <c r="D696" s="55"/>
      <c r="O696" s="49"/>
    </row>
    <row r="697" spans="1:15" hidden="1" x14ac:dyDescent="0.3">
      <c r="A697" s="49"/>
      <c r="B697" s="54">
        <v>46687</v>
      </c>
      <c r="C697" s="55" t="str">
        <f t="shared" si="10"/>
        <v>Wed</v>
      </c>
      <c r="D697" s="55"/>
      <c r="O697" s="49"/>
    </row>
    <row r="698" spans="1:15" hidden="1" x14ac:dyDescent="0.3">
      <c r="A698" s="49"/>
      <c r="B698" s="54">
        <v>46688</v>
      </c>
      <c r="C698" s="55" t="str">
        <f t="shared" si="10"/>
        <v>Thu</v>
      </c>
      <c r="D698" s="55"/>
      <c r="O698" s="49"/>
    </row>
    <row r="699" spans="1:15" hidden="1" x14ac:dyDescent="0.3">
      <c r="A699" s="49"/>
      <c r="B699" s="54">
        <v>46689</v>
      </c>
      <c r="C699" s="55" t="str">
        <f t="shared" si="10"/>
        <v>Fri</v>
      </c>
      <c r="D699" s="55"/>
      <c r="O699" s="49"/>
    </row>
    <row r="700" spans="1:15" hidden="1" x14ac:dyDescent="0.3">
      <c r="A700" s="49"/>
      <c r="B700" s="54">
        <v>46690</v>
      </c>
      <c r="C700" s="55" t="str">
        <f t="shared" si="10"/>
        <v>Sat</v>
      </c>
      <c r="D700" s="55"/>
      <c r="O700" s="49"/>
    </row>
    <row r="701" spans="1:15" hidden="1" x14ac:dyDescent="0.3">
      <c r="A701" s="49"/>
      <c r="B701" s="54">
        <v>46691</v>
      </c>
      <c r="C701" s="55" t="str">
        <f t="shared" si="10"/>
        <v>Sun</v>
      </c>
      <c r="D701" s="55"/>
      <c r="O701" s="49"/>
    </row>
    <row r="702" spans="1:15" hidden="1" x14ac:dyDescent="0.3">
      <c r="A702" s="49"/>
      <c r="B702" s="54">
        <v>46692</v>
      </c>
      <c r="C702" s="55" t="str">
        <f t="shared" si="10"/>
        <v>Mon</v>
      </c>
      <c r="D702" s="55"/>
      <c r="O702" s="49"/>
    </row>
    <row r="703" spans="1:15" hidden="1" x14ac:dyDescent="0.3">
      <c r="A703" s="49"/>
      <c r="B703" s="54">
        <v>46693</v>
      </c>
      <c r="C703" s="55" t="str">
        <f t="shared" si="10"/>
        <v>Tue</v>
      </c>
      <c r="D703" s="55"/>
      <c r="O703" s="49"/>
    </row>
    <row r="704" spans="1:15" hidden="1" x14ac:dyDescent="0.3">
      <c r="A704" s="49"/>
      <c r="B704" s="54">
        <v>46694</v>
      </c>
      <c r="C704" s="55" t="str">
        <f t="shared" si="10"/>
        <v>Wed</v>
      </c>
      <c r="D704" s="55"/>
      <c r="O704" s="49"/>
    </row>
    <row r="705" spans="1:15" hidden="1" x14ac:dyDescent="0.3">
      <c r="A705" s="49"/>
      <c r="B705" s="54">
        <v>46695</v>
      </c>
      <c r="C705" s="55" t="str">
        <f t="shared" si="10"/>
        <v>Thu</v>
      </c>
      <c r="D705" s="55"/>
      <c r="O705" s="49"/>
    </row>
    <row r="706" spans="1:15" hidden="1" x14ac:dyDescent="0.3">
      <c r="A706" s="49"/>
      <c r="B706" s="54">
        <v>46696</v>
      </c>
      <c r="C706" s="55" t="str">
        <f t="shared" si="10"/>
        <v>Fri</v>
      </c>
      <c r="D706" s="55"/>
      <c r="O706" s="49"/>
    </row>
    <row r="707" spans="1:15" hidden="1" x14ac:dyDescent="0.3">
      <c r="A707" s="49"/>
      <c r="B707" s="54">
        <v>46697</v>
      </c>
      <c r="C707" s="55" t="str">
        <f t="shared" si="10"/>
        <v>Sat</v>
      </c>
      <c r="D707" s="55"/>
      <c r="O707" s="49"/>
    </row>
    <row r="708" spans="1:15" hidden="1" x14ac:dyDescent="0.3">
      <c r="A708" s="49"/>
      <c r="B708" s="54">
        <v>46698</v>
      </c>
      <c r="C708" s="55" t="str">
        <f t="shared" si="10"/>
        <v>Sun</v>
      </c>
      <c r="D708" s="55"/>
      <c r="O708" s="49"/>
    </row>
    <row r="709" spans="1:15" hidden="1" x14ac:dyDescent="0.3">
      <c r="A709" s="49"/>
      <c r="B709" s="54">
        <v>46699</v>
      </c>
      <c r="C709" s="55" t="str">
        <f t="shared" si="10"/>
        <v>Mon</v>
      </c>
      <c r="D709" s="55"/>
      <c r="O709" s="49"/>
    </row>
    <row r="710" spans="1:15" hidden="1" x14ac:dyDescent="0.3">
      <c r="A710" s="49"/>
      <c r="B710" s="54">
        <v>46700</v>
      </c>
      <c r="C710" s="55" t="str">
        <f t="shared" si="10"/>
        <v>Tue</v>
      </c>
      <c r="D710" s="55"/>
      <c r="O710" s="49"/>
    </row>
    <row r="711" spans="1:15" hidden="1" x14ac:dyDescent="0.3">
      <c r="A711" s="49"/>
      <c r="B711" s="54">
        <v>46701</v>
      </c>
      <c r="C711" s="55" t="str">
        <f t="shared" si="10"/>
        <v>Wed</v>
      </c>
      <c r="D711" s="55"/>
      <c r="O711" s="49"/>
    </row>
    <row r="712" spans="1:15" hidden="1" x14ac:dyDescent="0.3">
      <c r="A712" s="49"/>
      <c r="B712" s="54">
        <v>46702</v>
      </c>
      <c r="C712" s="55" t="str">
        <f t="shared" si="10"/>
        <v>Thu</v>
      </c>
      <c r="D712" s="55"/>
      <c r="O712" s="49"/>
    </row>
    <row r="713" spans="1:15" hidden="1" x14ac:dyDescent="0.3">
      <c r="A713" s="49"/>
      <c r="B713" s="54">
        <v>46703</v>
      </c>
      <c r="C713" s="55" t="str">
        <f t="shared" si="10"/>
        <v>Fri</v>
      </c>
      <c r="D713" s="55"/>
      <c r="O713" s="49"/>
    </row>
    <row r="714" spans="1:15" hidden="1" x14ac:dyDescent="0.3">
      <c r="A714" s="49"/>
      <c r="B714" s="54">
        <v>46704</v>
      </c>
      <c r="C714" s="55" t="str">
        <f t="shared" si="10"/>
        <v>Sat</v>
      </c>
      <c r="D714" s="55"/>
      <c r="O714" s="49"/>
    </row>
    <row r="715" spans="1:15" hidden="1" x14ac:dyDescent="0.3">
      <c r="A715" s="49"/>
      <c r="B715" s="54">
        <v>46705</v>
      </c>
      <c r="C715" s="55" t="str">
        <f t="shared" si="10"/>
        <v>Sun</v>
      </c>
      <c r="D715" s="55"/>
      <c r="O715" s="49"/>
    </row>
    <row r="716" spans="1:15" hidden="1" x14ac:dyDescent="0.3">
      <c r="A716" s="49"/>
      <c r="B716" s="54">
        <v>46706</v>
      </c>
      <c r="C716" s="55" t="str">
        <f t="shared" si="10"/>
        <v>Mon</v>
      </c>
      <c r="D716" s="55"/>
      <c r="O716" s="49"/>
    </row>
    <row r="717" spans="1:15" hidden="1" x14ac:dyDescent="0.3">
      <c r="A717" s="49"/>
      <c r="B717" s="54">
        <v>46707</v>
      </c>
      <c r="C717" s="55" t="str">
        <f t="shared" si="10"/>
        <v>Tue</v>
      </c>
      <c r="D717" s="55"/>
      <c r="O717" s="49"/>
    </row>
    <row r="718" spans="1:15" hidden="1" x14ac:dyDescent="0.3">
      <c r="A718" s="49"/>
      <c r="B718" s="54">
        <v>46708</v>
      </c>
      <c r="C718" s="55" t="str">
        <f t="shared" si="10"/>
        <v>Wed</v>
      </c>
      <c r="D718" s="55"/>
      <c r="O718" s="49"/>
    </row>
    <row r="719" spans="1:15" hidden="1" x14ac:dyDescent="0.3">
      <c r="A719" s="49"/>
      <c r="B719" s="54">
        <v>46709</v>
      </c>
      <c r="C719" s="55" t="str">
        <f t="shared" si="10"/>
        <v>Thu</v>
      </c>
      <c r="D719" s="55"/>
      <c r="O719" s="49"/>
    </row>
    <row r="720" spans="1:15" hidden="1" x14ac:dyDescent="0.3">
      <c r="A720" s="49"/>
      <c r="B720" s="54">
        <v>46710</v>
      </c>
      <c r="C720" s="55" t="str">
        <f t="shared" si="10"/>
        <v>Fri</v>
      </c>
      <c r="D720" s="55"/>
      <c r="O720" s="49"/>
    </row>
    <row r="721" spans="1:15" hidden="1" x14ac:dyDescent="0.3">
      <c r="A721" s="49"/>
      <c r="B721" s="54">
        <v>46711</v>
      </c>
      <c r="C721" s="55" t="str">
        <f t="shared" si="10"/>
        <v>Sat</v>
      </c>
      <c r="D721" s="55"/>
      <c r="O721" s="49"/>
    </row>
    <row r="722" spans="1:15" hidden="1" x14ac:dyDescent="0.3">
      <c r="A722" s="49"/>
      <c r="B722" s="54">
        <v>46712</v>
      </c>
      <c r="C722" s="55" t="str">
        <f t="shared" si="10"/>
        <v>Sun</v>
      </c>
      <c r="D722" s="55"/>
      <c r="O722" s="49"/>
    </row>
    <row r="723" spans="1:15" hidden="1" x14ac:dyDescent="0.3">
      <c r="A723" s="49"/>
      <c r="B723" s="54">
        <v>46713</v>
      </c>
      <c r="C723" s="55" t="str">
        <f t="shared" si="10"/>
        <v>Mon</v>
      </c>
      <c r="D723" s="55"/>
      <c r="O723" s="49"/>
    </row>
    <row r="724" spans="1:15" hidden="1" x14ac:dyDescent="0.3">
      <c r="A724" s="49"/>
      <c r="B724" s="54">
        <v>46714</v>
      </c>
      <c r="C724" s="55" t="str">
        <f t="shared" si="10"/>
        <v>Tue</v>
      </c>
      <c r="D724" s="55"/>
      <c r="O724" s="49"/>
    </row>
    <row r="725" spans="1:15" hidden="1" x14ac:dyDescent="0.3">
      <c r="A725" s="49"/>
      <c r="B725" s="54">
        <v>46715</v>
      </c>
      <c r="C725" s="55" t="str">
        <f t="shared" si="10"/>
        <v>Wed</v>
      </c>
      <c r="D725" s="55"/>
      <c r="O725" s="49"/>
    </row>
    <row r="726" spans="1:15" hidden="1" x14ac:dyDescent="0.3">
      <c r="A726" s="49"/>
      <c r="B726" s="54">
        <v>46716</v>
      </c>
      <c r="C726" s="55" t="str">
        <f t="shared" si="10"/>
        <v>Thu</v>
      </c>
      <c r="D726" s="55"/>
      <c r="O726" s="49"/>
    </row>
    <row r="727" spans="1:15" hidden="1" x14ac:dyDescent="0.3">
      <c r="A727" s="49"/>
      <c r="B727" s="54">
        <v>46717</v>
      </c>
      <c r="C727" s="55" t="str">
        <f t="shared" si="10"/>
        <v>Fri</v>
      </c>
      <c r="D727" s="55"/>
      <c r="O727" s="49"/>
    </row>
    <row r="728" spans="1:15" hidden="1" x14ac:dyDescent="0.3">
      <c r="A728" s="49"/>
      <c r="B728" s="54">
        <v>46718</v>
      </c>
      <c r="C728" s="55" t="str">
        <f t="shared" si="10"/>
        <v>Sat</v>
      </c>
      <c r="D728" s="55"/>
      <c r="O728" s="49"/>
    </row>
    <row r="729" spans="1:15" hidden="1" x14ac:dyDescent="0.3">
      <c r="A729" s="49"/>
      <c r="B729" s="54">
        <v>46719</v>
      </c>
      <c r="C729" s="55" t="str">
        <f t="shared" si="10"/>
        <v>Sun</v>
      </c>
      <c r="D729" s="55"/>
      <c r="O729" s="49"/>
    </row>
    <row r="730" spans="1:15" hidden="1" x14ac:dyDescent="0.3">
      <c r="A730" s="49"/>
      <c r="B730" s="54">
        <v>46720</v>
      </c>
      <c r="C730" s="55" t="str">
        <f t="shared" si="10"/>
        <v>Mon</v>
      </c>
      <c r="D730" s="55"/>
      <c r="O730" s="49"/>
    </row>
    <row r="731" spans="1:15" hidden="1" x14ac:dyDescent="0.3">
      <c r="A731" s="49"/>
      <c r="B731" s="54">
        <v>46721</v>
      </c>
      <c r="C731" s="55" t="str">
        <f t="shared" si="10"/>
        <v>Tue</v>
      </c>
      <c r="D731" s="55"/>
      <c r="O731" s="49"/>
    </row>
    <row r="732" spans="1:15" hidden="1" x14ac:dyDescent="0.3">
      <c r="A732" s="49"/>
      <c r="B732" s="54">
        <v>46722</v>
      </c>
      <c r="C732" s="55" t="str">
        <f t="shared" si="10"/>
        <v>Wed</v>
      </c>
      <c r="D732" s="55"/>
      <c r="O732" s="49"/>
    </row>
    <row r="733" spans="1:15" hidden="1" x14ac:dyDescent="0.3">
      <c r="A733" s="49"/>
      <c r="B733" s="54">
        <v>46723</v>
      </c>
      <c r="C733" s="55" t="str">
        <f t="shared" si="10"/>
        <v>Thu</v>
      </c>
      <c r="D733" s="55"/>
      <c r="O733" s="49"/>
    </row>
    <row r="734" spans="1:15" hidden="1" x14ac:dyDescent="0.3">
      <c r="A734" s="49"/>
      <c r="B734" s="54">
        <v>46724</v>
      </c>
      <c r="C734" s="55" t="str">
        <f t="shared" si="10"/>
        <v>Fri</v>
      </c>
      <c r="D734" s="55"/>
      <c r="O734" s="49"/>
    </row>
    <row r="735" spans="1:15" hidden="1" x14ac:dyDescent="0.3">
      <c r="A735" s="49"/>
      <c r="B735" s="54">
        <v>46725</v>
      </c>
      <c r="C735" s="55" t="str">
        <f t="shared" si="10"/>
        <v>Sat</v>
      </c>
      <c r="D735" s="55"/>
      <c r="O735" s="49"/>
    </row>
    <row r="736" spans="1:15" hidden="1" x14ac:dyDescent="0.3">
      <c r="A736" s="49"/>
      <c r="B736" s="54">
        <v>46726</v>
      </c>
      <c r="C736" s="55" t="str">
        <f t="shared" si="10"/>
        <v>Sun</v>
      </c>
      <c r="D736" s="55"/>
      <c r="O736" s="49"/>
    </row>
    <row r="737" spans="1:15" hidden="1" x14ac:dyDescent="0.3">
      <c r="A737" s="49"/>
      <c r="B737" s="54">
        <v>46727</v>
      </c>
      <c r="C737" s="55" t="str">
        <f t="shared" si="10"/>
        <v>Mon</v>
      </c>
      <c r="D737" s="55"/>
      <c r="O737" s="49"/>
    </row>
    <row r="738" spans="1:15" hidden="1" x14ac:dyDescent="0.3">
      <c r="A738" s="49"/>
      <c r="B738" s="54">
        <v>46728</v>
      </c>
      <c r="C738" s="55" t="str">
        <f t="shared" ref="C738:C801" si="11">TEXT(B738,"ddd")</f>
        <v>Tue</v>
      </c>
      <c r="D738" s="55"/>
      <c r="O738" s="49"/>
    </row>
    <row r="739" spans="1:15" hidden="1" x14ac:dyDescent="0.3">
      <c r="A739" s="49"/>
      <c r="B739" s="54">
        <v>46729</v>
      </c>
      <c r="C739" s="55" t="str">
        <f t="shared" si="11"/>
        <v>Wed</v>
      </c>
      <c r="D739" s="55"/>
      <c r="O739" s="49"/>
    </row>
    <row r="740" spans="1:15" hidden="1" x14ac:dyDescent="0.3">
      <c r="A740" s="49"/>
      <c r="B740" s="54">
        <v>46730</v>
      </c>
      <c r="C740" s="55" t="str">
        <f t="shared" si="11"/>
        <v>Thu</v>
      </c>
      <c r="D740" s="55"/>
      <c r="O740" s="49"/>
    </row>
    <row r="741" spans="1:15" hidden="1" x14ac:dyDescent="0.3">
      <c r="A741" s="49"/>
      <c r="B741" s="54">
        <v>46731</v>
      </c>
      <c r="C741" s="55" t="str">
        <f t="shared" si="11"/>
        <v>Fri</v>
      </c>
      <c r="D741" s="55"/>
      <c r="O741" s="49"/>
    </row>
    <row r="742" spans="1:15" hidden="1" x14ac:dyDescent="0.3">
      <c r="A742" s="49"/>
      <c r="B742" s="54">
        <v>46732</v>
      </c>
      <c r="C742" s="55" t="str">
        <f t="shared" si="11"/>
        <v>Sat</v>
      </c>
      <c r="D742" s="55"/>
      <c r="O742" s="49"/>
    </row>
    <row r="743" spans="1:15" hidden="1" x14ac:dyDescent="0.3">
      <c r="A743" s="49"/>
      <c r="B743" s="54">
        <v>46733</v>
      </c>
      <c r="C743" s="55" t="str">
        <f t="shared" si="11"/>
        <v>Sun</v>
      </c>
      <c r="D743" s="55"/>
      <c r="O743" s="49"/>
    </row>
    <row r="744" spans="1:15" hidden="1" x14ac:dyDescent="0.3">
      <c r="A744" s="49"/>
      <c r="B744" s="54">
        <v>46734</v>
      </c>
      <c r="C744" s="55" t="str">
        <f t="shared" si="11"/>
        <v>Mon</v>
      </c>
      <c r="D744" s="55"/>
      <c r="O744" s="49"/>
    </row>
    <row r="745" spans="1:15" hidden="1" x14ac:dyDescent="0.3">
      <c r="A745" s="49"/>
      <c r="B745" s="54">
        <v>46735</v>
      </c>
      <c r="C745" s="55" t="str">
        <f t="shared" si="11"/>
        <v>Tue</v>
      </c>
      <c r="D745" s="55"/>
      <c r="O745" s="49"/>
    </row>
    <row r="746" spans="1:15" hidden="1" x14ac:dyDescent="0.3">
      <c r="A746" s="49"/>
      <c r="B746" s="54">
        <v>46736</v>
      </c>
      <c r="C746" s="55" t="str">
        <f t="shared" si="11"/>
        <v>Wed</v>
      </c>
      <c r="D746" s="55"/>
      <c r="O746" s="49"/>
    </row>
    <row r="747" spans="1:15" hidden="1" x14ac:dyDescent="0.3">
      <c r="A747" s="49"/>
      <c r="B747" s="54">
        <v>46737</v>
      </c>
      <c r="C747" s="55" t="str">
        <f t="shared" si="11"/>
        <v>Thu</v>
      </c>
      <c r="D747" s="55"/>
      <c r="O747" s="49"/>
    </row>
    <row r="748" spans="1:15" hidden="1" x14ac:dyDescent="0.3">
      <c r="A748" s="49"/>
      <c r="B748" s="54">
        <v>46738</v>
      </c>
      <c r="C748" s="55" t="str">
        <f t="shared" si="11"/>
        <v>Fri</v>
      </c>
      <c r="D748" s="55"/>
      <c r="O748" s="49"/>
    </row>
    <row r="749" spans="1:15" hidden="1" x14ac:dyDescent="0.3">
      <c r="A749" s="49"/>
      <c r="B749" s="54">
        <v>46739</v>
      </c>
      <c r="C749" s="55" t="str">
        <f t="shared" si="11"/>
        <v>Sat</v>
      </c>
      <c r="D749" s="55"/>
      <c r="O749" s="49"/>
    </row>
    <row r="750" spans="1:15" hidden="1" x14ac:dyDescent="0.3">
      <c r="A750" s="49"/>
      <c r="B750" s="54">
        <v>46740</v>
      </c>
      <c r="C750" s="55" t="str">
        <f t="shared" si="11"/>
        <v>Sun</v>
      </c>
      <c r="D750" s="55"/>
      <c r="O750" s="49"/>
    </row>
    <row r="751" spans="1:15" hidden="1" x14ac:dyDescent="0.3">
      <c r="A751" s="49"/>
      <c r="B751" s="54">
        <v>46741</v>
      </c>
      <c r="C751" s="55" t="str">
        <f t="shared" si="11"/>
        <v>Mon</v>
      </c>
      <c r="D751" s="55"/>
      <c r="O751" s="49"/>
    </row>
    <row r="752" spans="1:15" hidden="1" x14ac:dyDescent="0.3">
      <c r="A752" s="49"/>
      <c r="B752" s="54">
        <v>46742</v>
      </c>
      <c r="C752" s="55" t="str">
        <f t="shared" si="11"/>
        <v>Tue</v>
      </c>
      <c r="D752" s="55"/>
      <c r="O752" s="49"/>
    </row>
    <row r="753" spans="1:15" hidden="1" x14ac:dyDescent="0.3">
      <c r="A753" s="49"/>
      <c r="B753" s="54">
        <v>46743</v>
      </c>
      <c r="C753" s="55" t="str">
        <f t="shared" si="11"/>
        <v>Wed</v>
      </c>
      <c r="D753" s="55"/>
      <c r="O753" s="49"/>
    </row>
    <row r="754" spans="1:15" hidden="1" x14ac:dyDescent="0.3">
      <c r="A754" s="49"/>
      <c r="B754" s="54">
        <v>46744</v>
      </c>
      <c r="C754" s="55" t="str">
        <f t="shared" si="11"/>
        <v>Thu</v>
      </c>
      <c r="D754" s="55"/>
      <c r="O754" s="49"/>
    </row>
    <row r="755" spans="1:15" hidden="1" x14ac:dyDescent="0.3">
      <c r="A755" s="49"/>
      <c r="B755" s="54">
        <v>46745</v>
      </c>
      <c r="C755" s="55" t="str">
        <f t="shared" si="11"/>
        <v>Fri</v>
      </c>
      <c r="D755" s="55"/>
      <c r="O755" s="49"/>
    </row>
    <row r="756" spans="1:15" hidden="1" x14ac:dyDescent="0.3">
      <c r="A756" s="49"/>
      <c r="B756" s="54">
        <v>46746</v>
      </c>
      <c r="C756" s="55" t="str">
        <f t="shared" si="11"/>
        <v>Sat</v>
      </c>
      <c r="D756" s="55"/>
      <c r="O756" s="49"/>
    </row>
    <row r="757" spans="1:15" hidden="1" x14ac:dyDescent="0.3">
      <c r="A757" s="49"/>
      <c r="B757" s="54">
        <v>46747</v>
      </c>
      <c r="C757" s="55" t="str">
        <f t="shared" si="11"/>
        <v>Sun</v>
      </c>
      <c r="D757" s="55"/>
      <c r="O757" s="49"/>
    </row>
    <row r="758" spans="1:15" hidden="1" x14ac:dyDescent="0.3">
      <c r="A758" s="49"/>
      <c r="B758" s="54">
        <v>46748</v>
      </c>
      <c r="C758" s="55" t="str">
        <f t="shared" si="11"/>
        <v>Mon</v>
      </c>
      <c r="D758" s="55"/>
      <c r="O758" s="49"/>
    </row>
    <row r="759" spans="1:15" hidden="1" x14ac:dyDescent="0.3">
      <c r="A759" s="49"/>
      <c r="B759" s="54">
        <v>46749</v>
      </c>
      <c r="C759" s="55" t="str">
        <f t="shared" si="11"/>
        <v>Tue</v>
      </c>
      <c r="D759" s="55"/>
      <c r="O759" s="49"/>
    </row>
    <row r="760" spans="1:15" hidden="1" x14ac:dyDescent="0.3">
      <c r="A760" s="49"/>
      <c r="B760" s="54">
        <v>46750</v>
      </c>
      <c r="C760" s="55" t="str">
        <f t="shared" si="11"/>
        <v>Wed</v>
      </c>
      <c r="D760" s="55"/>
      <c r="O760" s="49"/>
    </row>
    <row r="761" spans="1:15" hidden="1" x14ac:dyDescent="0.3">
      <c r="A761" s="49"/>
      <c r="B761" s="54">
        <v>46751</v>
      </c>
      <c r="C761" s="55" t="str">
        <f t="shared" si="11"/>
        <v>Thu</v>
      </c>
      <c r="D761" s="55"/>
      <c r="O761" s="49"/>
    </row>
    <row r="762" spans="1:15" hidden="1" x14ac:dyDescent="0.3">
      <c r="A762" s="49"/>
      <c r="B762" s="54">
        <v>46752</v>
      </c>
      <c r="C762" s="55" t="str">
        <f t="shared" si="11"/>
        <v>Fri</v>
      </c>
      <c r="D762" s="55"/>
      <c r="O762" s="49"/>
    </row>
    <row r="763" spans="1:15" hidden="1" x14ac:dyDescent="0.3">
      <c r="A763" s="49"/>
      <c r="B763" s="54">
        <v>46753</v>
      </c>
      <c r="C763" s="55" t="str">
        <f t="shared" si="11"/>
        <v>Sat</v>
      </c>
      <c r="D763" s="55"/>
      <c r="O763" s="49"/>
    </row>
    <row r="764" spans="1:15" hidden="1" x14ac:dyDescent="0.3">
      <c r="A764" s="49"/>
      <c r="B764" s="54">
        <v>46754</v>
      </c>
      <c r="C764" s="55" t="str">
        <f t="shared" si="11"/>
        <v>Sun</v>
      </c>
      <c r="D764" s="55"/>
      <c r="O764" s="49"/>
    </row>
    <row r="765" spans="1:15" hidden="1" x14ac:dyDescent="0.3">
      <c r="A765" s="49"/>
      <c r="B765" s="54">
        <v>46755</v>
      </c>
      <c r="C765" s="55" t="str">
        <f t="shared" si="11"/>
        <v>Mon</v>
      </c>
      <c r="D765" s="55"/>
      <c r="O765" s="49"/>
    </row>
    <row r="766" spans="1:15" hidden="1" x14ac:dyDescent="0.3">
      <c r="A766" s="49"/>
      <c r="B766" s="54">
        <v>46756</v>
      </c>
      <c r="C766" s="55" t="str">
        <f t="shared" si="11"/>
        <v>Tue</v>
      </c>
      <c r="D766" s="55"/>
      <c r="O766" s="49"/>
    </row>
    <row r="767" spans="1:15" hidden="1" x14ac:dyDescent="0.3">
      <c r="A767" s="49"/>
      <c r="B767" s="54">
        <v>46757</v>
      </c>
      <c r="C767" s="55" t="str">
        <f t="shared" si="11"/>
        <v>Wed</v>
      </c>
      <c r="D767" s="55"/>
      <c r="O767" s="49"/>
    </row>
    <row r="768" spans="1:15" hidden="1" x14ac:dyDescent="0.3">
      <c r="A768" s="49"/>
      <c r="B768" s="54">
        <v>46758</v>
      </c>
      <c r="C768" s="55" t="str">
        <f t="shared" si="11"/>
        <v>Thu</v>
      </c>
      <c r="D768" s="55"/>
      <c r="O768" s="49"/>
    </row>
    <row r="769" spans="1:15" hidden="1" x14ac:dyDescent="0.3">
      <c r="A769" s="49"/>
      <c r="B769" s="54">
        <v>46759</v>
      </c>
      <c r="C769" s="55" t="str">
        <f t="shared" si="11"/>
        <v>Fri</v>
      </c>
      <c r="D769" s="55"/>
      <c r="O769" s="49"/>
    </row>
    <row r="770" spans="1:15" hidden="1" x14ac:dyDescent="0.3">
      <c r="A770" s="49"/>
      <c r="B770" s="54">
        <v>46760</v>
      </c>
      <c r="C770" s="55" t="str">
        <f t="shared" si="11"/>
        <v>Sat</v>
      </c>
      <c r="D770" s="55"/>
      <c r="O770" s="49"/>
    </row>
    <row r="771" spans="1:15" hidden="1" x14ac:dyDescent="0.3">
      <c r="A771" s="49"/>
      <c r="B771" s="54">
        <v>46761</v>
      </c>
      <c r="C771" s="55" t="str">
        <f t="shared" si="11"/>
        <v>Sun</v>
      </c>
      <c r="D771" s="55"/>
      <c r="O771" s="49"/>
    </row>
    <row r="772" spans="1:15" hidden="1" x14ac:dyDescent="0.3">
      <c r="A772" s="49"/>
      <c r="B772" s="54">
        <v>46762</v>
      </c>
      <c r="C772" s="55" t="str">
        <f t="shared" si="11"/>
        <v>Mon</v>
      </c>
      <c r="D772" s="55"/>
      <c r="O772" s="49"/>
    </row>
    <row r="773" spans="1:15" hidden="1" x14ac:dyDescent="0.3">
      <c r="A773" s="49"/>
      <c r="B773" s="54">
        <v>46763</v>
      </c>
      <c r="C773" s="55" t="str">
        <f t="shared" si="11"/>
        <v>Tue</v>
      </c>
      <c r="D773" s="55"/>
      <c r="O773" s="49"/>
    </row>
    <row r="774" spans="1:15" hidden="1" x14ac:dyDescent="0.3">
      <c r="A774" s="49"/>
      <c r="B774" s="54">
        <v>46764</v>
      </c>
      <c r="C774" s="55" t="str">
        <f t="shared" si="11"/>
        <v>Wed</v>
      </c>
      <c r="D774" s="55"/>
      <c r="O774" s="49"/>
    </row>
    <row r="775" spans="1:15" hidden="1" x14ac:dyDescent="0.3">
      <c r="A775" s="49"/>
      <c r="B775" s="54">
        <v>46765</v>
      </c>
      <c r="C775" s="55" t="str">
        <f t="shared" si="11"/>
        <v>Thu</v>
      </c>
      <c r="D775" s="55"/>
      <c r="O775" s="49"/>
    </row>
    <row r="776" spans="1:15" hidden="1" x14ac:dyDescent="0.3">
      <c r="A776" s="49"/>
      <c r="B776" s="54">
        <v>46766</v>
      </c>
      <c r="C776" s="55" t="str">
        <f t="shared" si="11"/>
        <v>Fri</v>
      </c>
      <c r="D776" s="55"/>
      <c r="O776" s="49"/>
    </row>
    <row r="777" spans="1:15" hidden="1" x14ac:dyDescent="0.3">
      <c r="A777" s="49"/>
      <c r="B777" s="54">
        <v>46767</v>
      </c>
      <c r="C777" s="55" t="str">
        <f t="shared" si="11"/>
        <v>Sat</v>
      </c>
      <c r="D777" s="55"/>
      <c r="O777" s="49"/>
    </row>
    <row r="778" spans="1:15" hidden="1" x14ac:dyDescent="0.3">
      <c r="A778" s="49"/>
      <c r="B778" s="54">
        <v>46768</v>
      </c>
      <c r="C778" s="55" t="str">
        <f t="shared" si="11"/>
        <v>Sun</v>
      </c>
      <c r="D778" s="55"/>
      <c r="O778" s="49"/>
    </row>
    <row r="779" spans="1:15" hidden="1" x14ac:dyDescent="0.3">
      <c r="A779" s="49"/>
      <c r="B779" s="54">
        <v>46769</v>
      </c>
      <c r="C779" s="55" t="str">
        <f t="shared" si="11"/>
        <v>Mon</v>
      </c>
      <c r="D779" s="55"/>
      <c r="O779" s="49"/>
    </row>
    <row r="780" spans="1:15" hidden="1" x14ac:dyDescent="0.3">
      <c r="A780" s="49"/>
      <c r="B780" s="54">
        <v>46770</v>
      </c>
      <c r="C780" s="55" t="str">
        <f t="shared" si="11"/>
        <v>Tue</v>
      </c>
      <c r="D780" s="55"/>
      <c r="O780" s="49"/>
    </row>
    <row r="781" spans="1:15" hidden="1" x14ac:dyDescent="0.3">
      <c r="A781" s="49"/>
      <c r="B781" s="54">
        <v>46771</v>
      </c>
      <c r="C781" s="55" t="str">
        <f t="shared" si="11"/>
        <v>Wed</v>
      </c>
      <c r="D781" s="55"/>
      <c r="O781" s="49"/>
    </row>
    <row r="782" spans="1:15" hidden="1" x14ac:dyDescent="0.3">
      <c r="A782" s="49"/>
      <c r="B782" s="54">
        <v>46772</v>
      </c>
      <c r="C782" s="55" t="str">
        <f t="shared" si="11"/>
        <v>Thu</v>
      </c>
      <c r="D782" s="55"/>
      <c r="O782" s="49"/>
    </row>
    <row r="783" spans="1:15" hidden="1" x14ac:dyDescent="0.3">
      <c r="A783" s="49"/>
      <c r="B783" s="54">
        <v>46773</v>
      </c>
      <c r="C783" s="55" t="str">
        <f t="shared" si="11"/>
        <v>Fri</v>
      </c>
      <c r="D783" s="55"/>
      <c r="O783" s="49"/>
    </row>
    <row r="784" spans="1:15" hidden="1" x14ac:dyDescent="0.3">
      <c r="A784" s="49"/>
      <c r="B784" s="54">
        <v>46774</v>
      </c>
      <c r="C784" s="55" t="str">
        <f t="shared" si="11"/>
        <v>Sat</v>
      </c>
      <c r="D784" s="55"/>
      <c r="O784" s="49"/>
    </row>
    <row r="785" spans="1:15" hidden="1" x14ac:dyDescent="0.3">
      <c r="A785" s="49"/>
      <c r="B785" s="54">
        <v>46775</v>
      </c>
      <c r="C785" s="55" t="str">
        <f t="shared" si="11"/>
        <v>Sun</v>
      </c>
      <c r="D785" s="55"/>
      <c r="O785" s="49"/>
    </row>
    <row r="786" spans="1:15" hidden="1" x14ac:dyDescent="0.3">
      <c r="A786" s="49"/>
      <c r="B786" s="54">
        <v>46776</v>
      </c>
      <c r="C786" s="55" t="str">
        <f t="shared" si="11"/>
        <v>Mon</v>
      </c>
      <c r="D786" s="55"/>
      <c r="O786" s="49"/>
    </row>
    <row r="787" spans="1:15" hidden="1" x14ac:dyDescent="0.3">
      <c r="A787" s="49"/>
      <c r="B787" s="54">
        <v>46777</v>
      </c>
      <c r="C787" s="55" t="str">
        <f t="shared" si="11"/>
        <v>Tue</v>
      </c>
      <c r="D787" s="55"/>
      <c r="O787" s="49"/>
    </row>
    <row r="788" spans="1:15" hidden="1" x14ac:dyDescent="0.3">
      <c r="A788" s="49"/>
      <c r="B788" s="54">
        <v>46778</v>
      </c>
      <c r="C788" s="55" t="str">
        <f t="shared" si="11"/>
        <v>Wed</v>
      </c>
      <c r="D788" s="55"/>
      <c r="O788" s="49"/>
    </row>
    <row r="789" spans="1:15" hidden="1" x14ac:dyDescent="0.3">
      <c r="A789" s="49"/>
      <c r="B789" s="54">
        <v>46779</v>
      </c>
      <c r="C789" s="55" t="str">
        <f t="shared" si="11"/>
        <v>Thu</v>
      </c>
      <c r="D789" s="55"/>
      <c r="O789" s="49"/>
    </row>
    <row r="790" spans="1:15" hidden="1" x14ac:dyDescent="0.3">
      <c r="A790" s="49"/>
      <c r="B790" s="54">
        <v>46780</v>
      </c>
      <c r="C790" s="55" t="str">
        <f t="shared" si="11"/>
        <v>Fri</v>
      </c>
      <c r="D790" s="55"/>
      <c r="O790" s="49"/>
    </row>
    <row r="791" spans="1:15" hidden="1" x14ac:dyDescent="0.3">
      <c r="A791" s="49"/>
      <c r="B791" s="54">
        <v>46781</v>
      </c>
      <c r="C791" s="55" t="str">
        <f t="shared" si="11"/>
        <v>Sat</v>
      </c>
      <c r="D791" s="55"/>
      <c r="O791" s="49"/>
    </row>
    <row r="792" spans="1:15" hidden="1" x14ac:dyDescent="0.3">
      <c r="A792" s="49"/>
      <c r="B792" s="54">
        <v>46782</v>
      </c>
      <c r="C792" s="55" t="str">
        <f t="shared" si="11"/>
        <v>Sun</v>
      </c>
      <c r="D792" s="55"/>
      <c r="O792" s="49"/>
    </row>
    <row r="793" spans="1:15" hidden="1" x14ac:dyDescent="0.3">
      <c r="A793" s="49"/>
      <c r="B793" s="54">
        <v>46783</v>
      </c>
      <c r="C793" s="55" t="str">
        <f t="shared" si="11"/>
        <v>Mon</v>
      </c>
      <c r="D793" s="55"/>
      <c r="O793" s="49"/>
    </row>
    <row r="794" spans="1:15" hidden="1" x14ac:dyDescent="0.3">
      <c r="A794" s="49"/>
      <c r="B794" s="54">
        <v>46784</v>
      </c>
      <c r="C794" s="55" t="str">
        <f t="shared" si="11"/>
        <v>Tue</v>
      </c>
      <c r="D794" s="55"/>
      <c r="O794" s="49"/>
    </row>
    <row r="795" spans="1:15" hidden="1" x14ac:dyDescent="0.3">
      <c r="A795" s="49"/>
      <c r="B795" s="54">
        <v>46785</v>
      </c>
      <c r="C795" s="55" t="str">
        <f t="shared" si="11"/>
        <v>Wed</v>
      </c>
      <c r="D795" s="55"/>
      <c r="O795" s="49"/>
    </row>
    <row r="796" spans="1:15" hidden="1" x14ac:dyDescent="0.3">
      <c r="A796" s="49"/>
      <c r="B796" s="54">
        <v>46786</v>
      </c>
      <c r="C796" s="55" t="str">
        <f t="shared" si="11"/>
        <v>Thu</v>
      </c>
      <c r="D796" s="55"/>
      <c r="O796" s="49"/>
    </row>
    <row r="797" spans="1:15" hidden="1" x14ac:dyDescent="0.3">
      <c r="A797" s="49"/>
      <c r="B797" s="54">
        <v>46787</v>
      </c>
      <c r="C797" s="55" t="str">
        <f t="shared" si="11"/>
        <v>Fri</v>
      </c>
      <c r="D797" s="55"/>
      <c r="O797" s="49"/>
    </row>
    <row r="798" spans="1:15" hidden="1" x14ac:dyDescent="0.3">
      <c r="A798" s="49"/>
      <c r="B798" s="54">
        <v>46788</v>
      </c>
      <c r="C798" s="55" t="str">
        <f t="shared" si="11"/>
        <v>Sat</v>
      </c>
      <c r="D798" s="55"/>
      <c r="O798" s="49"/>
    </row>
    <row r="799" spans="1:15" hidden="1" x14ac:dyDescent="0.3">
      <c r="A799" s="49"/>
      <c r="B799" s="54">
        <v>46789</v>
      </c>
      <c r="C799" s="55" t="str">
        <f t="shared" si="11"/>
        <v>Sun</v>
      </c>
      <c r="D799" s="55"/>
      <c r="O799" s="49"/>
    </row>
    <row r="800" spans="1:15" hidden="1" x14ac:dyDescent="0.3">
      <c r="A800" s="49"/>
      <c r="B800" s="54">
        <v>46790</v>
      </c>
      <c r="C800" s="55" t="str">
        <f t="shared" si="11"/>
        <v>Mon</v>
      </c>
      <c r="D800" s="55"/>
      <c r="O800" s="49"/>
    </row>
    <row r="801" spans="1:15" hidden="1" x14ac:dyDescent="0.3">
      <c r="A801" s="49"/>
      <c r="B801" s="54">
        <v>46791</v>
      </c>
      <c r="C801" s="55" t="str">
        <f t="shared" si="11"/>
        <v>Tue</v>
      </c>
      <c r="D801" s="55"/>
      <c r="O801" s="49"/>
    </row>
    <row r="802" spans="1:15" hidden="1" x14ac:dyDescent="0.3">
      <c r="A802" s="49"/>
      <c r="B802" s="54">
        <v>46792</v>
      </c>
      <c r="C802" s="55" t="str">
        <f t="shared" ref="C802:C865" si="12">TEXT(B802,"ddd")</f>
        <v>Wed</v>
      </c>
      <c r="D802" s="55"/>
      <c r="O802" s="49"/>
    </row>
    <row r="803" spans="1:15" hidden="1" x14ac:dyDescent="0.3">
      <c r="A803" s="49"/>
      <c r="B803" s="54">
        <v>46793</v>
      </c>
      <c r="C803" s="55" t="str">
        <f t="shared" si="12"/>
        <v>Thu</v>
      </c>
      <c r="D803" s="55"/>
      <c r="O803" s="49"/>
    </row>
    <row r="804" spans="1:15" hidden="1" x14ac:dyDescent="0.3">
      <c r="A804" s="49"/>
      <c r="B804" s="54">
        <v>46794</v>
      </c>
      <c r="C804" s="55" t="str">
        <f t="shared" si="12"/>
        <v>Fri</v>
      </c>
      <c r="D804" s="55"/>
      <c r="O804" s="49"/>
    </row>
    <row r="805" spans="1:15" hidden="1" x14ac:dyDescent="0.3">
      <c r="A805" s="49"/>
      <c r="B805" s="54">
        <v>46795</v>
      </c>
      <c r="C805" s="55" t="str">
        <f t="shared" si="12"/>
        <v>Sat</v>
      </c>
      <c r="D805" s="55"/>
      <c r="O805" s="49"/>
    </row>
    <row r="806" spans="1:15" hidden="1" x14ac:dyDescent="0.3">
      <c r="A806" s="49"/>
      <c r="B806" s="54">
        <v>46796</v>
      </c>
      <c r="C806" s="55" t="str">
        <f t="shared" si="12"/>
        <v>Sun</v>
      </c>
      <c r="D806" s="55"/>
      <c r="O806" s="49"/>
    </row>
    <row r="807" spans="1:15" hidden="1" x14ac:dyDescent="0.3">
      <c r="A807" s="49"/>
      <c r="B807" s="54">
        <v>46797</v>
      </c>
      <c r="C807" s="55" t="str">
        <f t="shared" si="12"/>
        <v>Mon</v>
      </c>
      <c r="D807" s="55"/>
      <c r="O807" s="49"/>
    </row>
    <row r="808" spans="1:15" hidden="1" x14ac:dyDescent="0.3">
      <c r="A808" s="49"/>
      <c r="B808" s="54">
        <v>46798</v>
      </c>
      <c r="C808" s="55" t="str">
        <f t="shared" si="12"/>
        <v>Tue</v>
      </c>
      <c r="D808" s="55"/>
      <c r="O808" s="49"/>
    </row>
    <row r="809" spans="1:15" hidden="1" x14ac:dyDescent="0.3">
      <c r="A809" s="49"/>
      <c r="B809" s="54">
        <v>46799</v>
      </c>
      <c r="C809" s="55" t="str">
        <f t="shared" si="12"/>
        <v>Wed</v>
      </c>
      <c r="D809" s="55"/>
      <c r="O809" s="49"/>
    </row>
    <row r="810" spans="1:15" hidden="1" x14ac:dyDescent="0.3">
      <c r="A810" s="49"/>
      <c r="B810" s="54">
        <v>46800</v>
      </c>
      <c r="C810" s="55" t="str">
        <f t="shared" si="12"/>
        <v>Thu</v>
      </c>
      <c r="D810" s="55"/>
      <c r="O810" s="49"/>
    </row>
    <row r="811" spans="1:15" hidden="1" x14ac:dyDescent="0.3">
      <c r="A811" s="49"/>
      <c r="B811" s="54">
        <v>46801</v>
      </c>
      <c r="C811" s="55" t="str">
        <f t="shared" si="12"/>
        <v>Fri</v>
      </c>
      <c r="D811" s="55"/>
      <c r="O811" s="49"/>
    </row>
    <row r="812" spans="1:15" hidden="1" x14ac:dyDescent="0.3">
      <c r="A812" s="49"/>
      <c r="B812" s="54">
        <v>46802</v>
      </c>
      <c r="C812" s="55" t="str">
        <f t="shared" si="12"/>
        <v>Sat</v>
      </c>
      <c r="D812" s="55"/>
      <c r="O812" s="49"/>
    </row>
    <row r="813" spans="1:15" hidden="1" x14ac:dyDescent="0.3">
      <c r="A813" s="49"/>
      <c r="B813" s="54">
        <v>46803</v>
      </c>
      <c r="C813" s="55" t="str">
        <f t="shared" si="12"/>
        <v>Sun</v>
      </c>
      <c r="D813" s="55"/>
      <c r="O813" s="49"/>
    </row>
    <row r="814" spans="1:15" hidden="1" x14ac:dyDescent="0.3">
      <c r="A814" s="49"/>
      <c r="B814" s="54">
        <v>46804</v>
      </c>
      <c r="C814" s="55" t="str">
        <f t="shared" si="12"/>
        <v>Mon</v>
      </c>
      <c r="D814" s="55"/>
      <c r="O814" s="49"/>
    </row>
    <row r="815" spans="1:15" hidden="1" x14ac:dyDescent="0.3">
      <c r="A815" s="49"/>
      <c r="B815" s="54">
        <v>46805</v>
      </c>
      <c r="C815" s="55" t="str">
        <f t="shared" si="12"/>
        <v>Tue</v>
      </c>
      <c r="D815" s="55"/>
      <c r="O815" s="49"/>
    </row>
    <row r="816" spans="1:15" hidden="1" x14ac:dyDescent="0.3">
      <c r="A816" s="49"/>
      <c r="B816" s="54">
        <v>46806</v>
      </c>
      <c r="C816" s="55" t="str">
        <f t="shared" si="12"/>
        <v>Wed</v>
      </c>
      <c r="D816" s="55"/>
      <c r="O816" s="49"/>
    </row>
    <row r="817" spans="1:15" hidden="1" x14ac:dyDescent="0.3">
      <c r="A817" s="49"/>
      <c r="B817" s="54">
        <v>46807</v>
      </c>
      <c r="C817" s="55" t="str">
        <f t="shared" si="12"/>
        <v>Thu</v>
      </c>
      <c r="D817" s="55"/>
      <c r="O817" s="49"/>
    </row>
    <row r="818" spans="1:15" hidden="1" x14ac:dyDescent="0.3">
      <c r="A818" s="49"/>
      <c r="B818" s="54">
        <v>46808</v>
      </c>
      <c r="C818" s="55" t="str">
        <f t="shared" si="12"/>
        <v>Fri</v>
      </c>
      <c r="D818" s="55"/>
      <c r="O818" s="49"/>
    </row>
    <row r="819" spans="1:15" hidden="1" x14ac:dyDescent="0.3">
      <c r="A819" s="49"/>
      <c r="B819" s="54">
        <v>46809</v>
      </c>
      <c r="C819" s="55" t="str">
        <f t="shared" si="12"/>
        <v>Sat</v>
      </c>
      <c r="D819" s="55"/>
      <c r="O819" s="49"/>
    </row>
    <row r="820" spans="1:15" hidden="1" x14ac:dyDescent="0.3">
      <c r="A820" s="49"/>
      <c r="B820" s="54">
        <v>46810</v>
      </c>
      <c r="C820" s="55" t="str">
        <f t="shared" si="12"/>
        <v>Sun</v>
      </c>
      <c r="D820" s="55"/>
      <c r="O820" s="49"/>
    </row>
    <row r="821" spans="1:15" hidden="1" x14ac:dyDescent="0.3">
      <c r="A821" s="49"/>
      <c r="B821" s="54">
        <v>46811</v>
      </c>
      <c r="C821" s="55" t="str">
        <f t="shared" si="12"/>
        <v>Mon</v>
      </c>
      <c r="D821" s="55"/>
      <c r="O821" s="49"/>
    </row>
    <row r="822" spans="1:15" hidden="1" x14ac:dyDescent="0.3">
      <c r="A822" s="49"/>
      <c r="B822" s="54">
        <v>46812</v>
      </c>
      <c r="C822" s="55" t="str">
        <f t="shared" si="12"/>
        <v>Tue</v>
      </c>
      <c r="D822" s="55"/>
      <c r="O822" s="49"/>
    </row>
    <row r="823" spans="1:15" hidden="1" x14ac:dyDescent="0.3">
      <c r="A823" s="49"/>
      <c r="B823" s="54">
        <v>46813</v>
      </c>
      <c r="C823" s="55" t="str">
        <f t="shared" si="12"/>
        <v>Wed</v>
      </c>
      <c r="D823" s="55"/>
      <c r="O823" s="49"/>
    </row>
    <row r="824" spans="1:15" hidden="1" x14ac:dyDescent="0.3">
      <c r="A824" s="49"/>
      <c r="B824" s="54">
        <v>46814</v>
      </c>
      <c r="C824" s="55" t="str">
        <f t="shared" si="12"/>
        <v>Thu</v>
      </c>
      <c r="D824" s="55"/>
      <c r="O824" s="49"/>
    </row>
    <row r="825" spans="1:15" hidden="1" x14ac:dyDescent="0.3">
      <c r="A825" s="49"/>
      <c r="B825" s="54">
        <v>46815</v>
      </c>
      <c r="C825" s="55" t="str">
        <f t="shared" si="12"/>
        <v>Fri</v>
      </c>
      <c r="D825" s="55"/>
      <c r="O825" s="49"/>
    </row>
    <row r="826" spans="1:15" hidden="1" x14ac:dyDescent="0.3">
      <c r="A826" s="49"/>
      <c r="B826" s="54">
        <v>46816</v>
      </c>
      <c r="C826" s="55" t="str">
        <f t="shared" si="12"/>
        <v>Sat</v>
      </c>
      <c r="D826" s="55"/>
      <c r="O826" s="49"/>
    </row>
    <row r="827" spans="1:15" hidden="1" x14ac:dyDescent="0.3">
      <c r="A827" s="49"/>
      <c r="B827" s="54">
        <v>46817</v>
      </c>
      <c r="C827" s="55" t="str">
        <f t="shared" si="12"/>
        <v>Sun</v>
      </c>
      <c r="D827" s="55"/>
      <c r="O827" s="49"/>
    </row>
    <row r="828" spans="1:15" hidden="1" x14ac:dyDescent="0.3">
      <c r="A828" s="49"/>
      <c r="B828" s="54">
        <v>46818</v>
      </c>
      <c r="C828" s="55" t="str">
        <f t="shared" si="12"/>
        <v>Mon</v>
      </c>
      <c r="D828" s="55"/>
      <c r="O828" s="49"/>
    </row>
    <row r="829" spans="1:15" hidden="1" x14ac:dyDescent="0.3">
      <c r="A829" s="49"/>
      <c r="B829" s="54">
        <v>46819</v>
      </c>
      <c r="C829" s="55" t="str">
        <f t="shared" si="12"/>
        <v>Tue</v>
      </c>
      <c r="D829" s="55"/>
      <c r="O829" s="49"/>
    </row>
    <row r="830" spans="1:15" hidden="1" x14ac:dyDescent="0.3">
      <c r="A830" s="49"/>
      <c r="B830" s="54">
        <v>46820</v>
      </c>
      <c r="C830" s="55" t="str">
        <f t="shared" si="12"/>
        <v>Wed</v>
      </c>
      <c r="D830" s="55"/>
      <c r="O830" s="49"/>
    </row>
    <row r="831" spans="1:15" hidden="1" x14ac:dyDescent="0.3">
      <c r="A831" s="49"/>
      <c r="B831" s="54">
        <v>46821</v>
      </c>
      <c r="C831" s="55" t="str">
        <f t="shared" si="12"/>
        <v>Thu</v>
      </c>
      <c r="D831" s="55"/>
      <c r="O831" s="49"/>
    </row>
    <row r="832" spans="1:15" hidden="1" x14ac:dyDescent="0.3">
      <c r="A832" s="49"/>
      <c r="B832" s="54">
        <v>46822</v>
      </c>
      <c r="C832" s="55" t="str">
        <f t="shared" si="12"/>
        <v>Fri</v>
      </c>
      <c r="D832" s="55"/>
      <c r="O832" s="49"/>
    </row>
    <row r="833" spans="1:15" hidden="1" x14ac:dyDescent="0.3">
      <c r="A833" s="49"/>
      <c r="B833" s="54">
        <v>46823</v>
      </c>
      <c r="C833" s="55" t="str">
        <f t="shared" si="12"/>
        <v>Sat</v>
      </c>
      <c r="D833" s="55"/>
      <c r="O833" s="49"/>
    </row>
    <row r="834" spans="1:15" hidden="1" x14ac:dyDescent="0.3">
      <c r="A834" s="49"/>
      <c r="B834" s="54">
        <v>46824</v>
      </c>
      <c r="C834" s="55" t="str">
        <f t="shared" si="12"/>
        <v>Sun</v>
      </c>
      <c r="D834" s="55"/>
      <c r="O834" s="49"/>
    </row>
    <row r="835" spans="1:15" hidden="1" x14ac:dyDescent="0.3">
      <c r="A835" s="49"/>
      <c r="B835" s="54">
        <v>46825</v>
      </c>
      <c r="C835" s="55" t="str">
        <f t="shared" si="12"/>
        <v>Mon</v>
      </c>
      <c r="D835" s="55"/>
      <c r="O835" s="49"/>
    </row>
    <row r="836" spans="1:15" hidden="1" x14ac:dyDescent="0.3">
      <c r="A836" s="49"/>
      <c r="B836" s="54">
        <v>46826</v>
      </c>
      <c r="C836" s="55" t="str">
        <f t="shared" si="12"/>
        <v>Tue</v>
      </c>
      <c r="D836" s="55"/>
      <c r="O836" s="49"/>
    </row>
    <row r="837" spans="1:15" hidden="1" x14ac:dyDescent="0.3">
      <c r="A837" s="49"/>
      <c r="B837" s="54">
        <v>46827</v>
      </c>
      <c r="C837" s="55" t="str">
        <f t="shared" si="12"/>
        <v>Wed</v>
      </c>
      <c r="D837" s="55"/>
      <c r="O837" s="49"/>
    </row>
    <row r="838" spans="1:15" hidden="1" x14ac:dyDescent="0.3">
      <c r="A838" s="49"/>
      <c r="B838" s="54">
        <v>46828</v>
      </c>
      <c r="C838" s="55" t="str">
        <f t="shared" si="12"/>
        <v>Thu</v>
      </c>
      <c r="D838" s="55"/>
      <c r="O838" s="49"/>
    </row>
    <row r="839" spans="1:15" hidden="1" x14ac:dyDescent="0.3">
      <c r="A839" s="49"/>
      <c r="B839" s="54">
        <v>46829</v>
      </c>
      <c r="C839" s="55" t="str">
        <f t="shared" si="12"/>
        <v>Fri</v>
      </c>
      <c r="D839" s="55"/>
      <c r="O839" s="49"/>
    </row>
    <row r="840" spans="1:15" hidden="1" x14ac:dyDescent="0.3">
      <c r="A840" s="49"/>
      <c r="B840" s="54">
        <v>46830</v>
      </c>
      <c r="C840" s="55" t="str">
        <f t="shared" si="12"/>
        <v>Sat</v>
      </c>
      <c r="D840" s="55"/>
      <c r="O840" s="49"/>
    </row>
    <row r="841" spans="1:15" hidden="1" x14ac:dyDescent="0.3">
      <c r="A841" s="49"/>
      <c r="B841" s="54">
        <v>46831</v>
      </c>
      <c r="C841" s="55" t="str">
        <f t="shared" si="12"/>
        <v>Sun</v>
      </c>
      <c r="D841" s="55"/>
      <c r="O841" s="49"/>
    </row>
    <row r="842" spans="1:15" hidden="1" x14ac:dyDescent="0.3">
      <c r="A842" s="49"/>
      <c r="B842" s="54">
        <v>46832</v>
      </c>
      <c r="C842" s="55" t="str">
        <f t="shared" si="12"/>
        <v>Mon</v>
      </c>
      <c r="D842" s="55"/>
      <c r="O842" s="49"/>
    </row>
    <row r="843" spans="1:15" hidden="1" x14ac:dyDescent="0.3">
      <c r="A843" s="49"/>
      <c r="B843" s="54">
        <v>46833</v>
      </c>
      <c r="C843" s="55" t="str">
        <f t="shared" si="12"/>
        <v>Tue</v>
      </c>
      <c r="D843" s="55"/>
      <c r="O843" s="49"/>
    </row>
    <row r="844" spans="1:15" hidden="1" x14ac:dyDescent="0.3">
      <c r="A844" s="49"/>
      <c r="B844" s="54">
        <v>46834</v>
      </c>
      <c r="C844" s="55" t="str">
        <f t="shared" si="12"/>
        <v>Wed</v>
      </c>
      <c r="D844" s="55"/>
      <c r="O844" s="49"/>
    </row>
    <row r="845" spans="1:15" hidden="1" x14ac:dyDescent="0.3">
      <c r="A845" s="49"/>
      <c r="B845" s="54">
        <v>46835</v>
      </c>
      <c r="C845" s="55" t="str">
        <f t="shared" si="12"/>
        <v>Thu</v>
      </c>
      <c r="D845" s="55"/>
      <c r="O845" s="49"/>
    </row>
    <row r="846" spans="1:15" hidden="1" x14ac:dyDescent="0.3">
      <c r="A846" s="49"/>
      <c r="B846" s="54">
        <v>46836</v>
      </c>
      <c r="C846" s="55" t="str">
        <f t="shared" si="12"/>
        <v>Fri</v>
      </c>
      <c r="D846" s="55"/>
      <c r="O846" s="49"/>
    </row>
    <row r="847" spans="1:15" hidden="1" x14ac:dyDescent="0.3">
      <c r="A847" s="49"/>
      <c r="B847" s="54">
        <v>46837</v>
      </c>
      <c r="C847" s="55" t="str">
        <f t="shared" si="12"/>
        <v>Sat</v>
      </c>
      <c r="D847" s="55"/>
      <c r="O847" s="49"/>
    </row>
    <row r="848" spans="1:15" hidden="1" x14ac:dyDescent="0.3">
      <c r="A848" s="49"/>
      <c r="B848" s="54">
        <v>46838</v>
      </c>
      <c r="C848" s="55" t="str">
        <f t="shared" si="12"/>
        <v>Sun</v>
      </c>
      <c r="D848" s="55"/>
      <c r="O848" s="49"/>
    </row>
    <row r="849" spans="1:15" hidden="1" x14ac:dyDescent="0.3">
      <c r="A849" s="49"/>
      <c r="B849" s="54">
        <v>46839</v>
      </c>
      <c r="C849" s="55" t="str">
        <f t="shared" si="12"/>
        <v>Mon</v>
      </c>
      <c r="D849" s="55"/>
      <c r="O849" s="49"/>
    </row>
    <row r="850" spans="1:15" hidden="1" x14ac:dyDescent="0.3">
      <c r="A850" s="49"/>
      <c r="B850" s="54">
        <v>46840</v>
      </c>
      <c r="C850" s="55" t="str">
        <f t="shared" si="12"/>
        <v>Tue</v>
      </c>
      <c r="D850" s="55"/>
      <c r="O850" s="49"/>
    </row>
    <row r="851" spans="1:15" hidden="1" x14ac:dyDescent="0.3">
      <c r="A851" s="49"/>
      <c r="B851" s="54">
        <v>46841</v>
      </c>
      <c r="C851" s="55" t="str">
        <f t="shared" si="12"/>
        <v>Wed</v>
      </c>
      <c r="D851" s="55"/>
      <c r="O851" s="49"/>
    </row>
    <row r="852" spans="1:15" hidden="1" x14ac:dyDescent="0.3">
      <c r="A852" s="49"/>
      <c r="B852" s="54">
        <v>46842</v>
      </c>
      <c r="C852" s="55" t="str">
        <f t="shared" si="12"/>
        <v>Thu</v>
      </c>
      <c r="D852" s="55"/>
      <c r="O852" s="49"/>
    </row>
    <row r="853" spans="1:15" hidden="1" x14ac:dyDescent="0.3">
      <c r="A853" s="49"/>
      <c r="B853" s="54">
        <v>46843</v>
      </c>
      <c r="C853" s="55" t="str">
        <f t="shared" si="12"/>
        <v>Fri</v>
      </c>
      <c r="D853" s="55"/>
      <c r="O853" s="49"/>
    </row>
    <row r="854" spans="1:15" hidden="1" x14ac:dyDescent="0.3">
      <c r="A854" s="49"/>
      <c r="B854" s="54">
        <v>46844</v>
      </c>
      <c r="C854" s="55" t="str">
        <f t="shared" si="12"/>
        <v>Sat</v>
      </c>
      <c r="D854" s="55"/>
      <c r="O854" s="49"/>
    </row>
    <row r="855" spans="1:15" hidden="1" x14ac:dyDescent="0.3">
      <c r="A855" s="49"/>
      <c r="B855" s="54">
        <v>46845</v>
      </c>
      <c r="C855" s="55" t="str">
        <f t="shared" si="12"/>
        <v>Sun</v>
      </c>
      <c r="D855" s="55"/>
      <c r="O855" s="49"/>
    </row>
    <row r="856" spans="1:15" hidden="1" x14ac:dyDescent="0.3">
      <c r="A856" s="49"/>
      <c r="B856" s="54">
        <v>46846</v>
      </c>
      <c r="C856" s="55" t="str">
        <f t="shared" si="12"/>
        <v>Mon</v>
      </c>
      <c r="D856" s="55"/>
      <c r="O856" s="49"/>
    </row>
    <row r="857" spans="1:15" hidden="1" x14ac:dyDescent="0.3">
      <c r="A857" s="49"/>
      <c r="B857" s="54">
        <v>46847</v>
      </c>
      <c r="C857" s="55" t="str">
        <f t="shared" si="12"/>
        <v>Tue</v>
      </c>
      <c r="D857" s="55"/>
      <c r="O857" s="49"/>
    </row>
    <row r="858" spans="1:15" hidden="1" x14ac:dyDescent="0.3">
      <c r="A858" s="49"/>
      <c r="B858" s="54">
        <v>46848</v>
      </c>
      <c r="C858" s="55" t="str">
        <f t="shared" si="12"/>
        <v>Wed</v>
      </c>
      <c r="D858" s="55"/>
      <c r="O858" s="49"/>
    </row>
    <row r="859" spans="1:15" hidden="1" x14ac:dyDescent="0.3">
      <c r="A859" s="49"/>
      <c r="B859" s="54">
        <v>46849</v>
      </c>
      <c r="C859" s="55" t="str">
        <f t="shared" si="12"/>
        <v>Thu</v>
      </c>
      <c r="D859" s="55"/>
      <c r="O859" s="49"/>
    </row>
    <row r="860" spans="1:15" hidden="1" x14ac:dyDescent="0.3">
      <c r="A860" s="49"/>
      <c r="B860" s="54">
        <v>46850</v>
      </c>
      <c r="C860" s="55" t="str">
        <f t="shared" si="12"/>
        <v>Fri</v>
      </c>
      <c r="D860" s="55"/>
      <c r="O860" s="49"/>
    </row>
    <row r="861" spans="1:15" hidden="1" x14ac:dyDescent="0.3">
      <c r="A861" s="49"/>
      <c r="B861" s="54">
        <v>46851</v>
      </c>
      <c r="C861" s="55" t="str">
        <f t="shared" si="12"/>
        <v>Sat</v>
      </c>
      <c r="D861" s="55"/>
      <c r="O861" s="49"/>
    </row>
    <row r="862" spans="1:15" hidden="1" x14ac:dyDescent="0.3">
      <c r="A862" s="49"/>
      <c r="B862" s="54">
        <v>46852</v>
      </c>
      <c r="C862" s="55" t="str">
        <f t="shared" si="12"/>
        <v>Sun</v>
      </c>
      <c r="D862" s="55"/>
      <c r="O862" s="49"/>
    </row>
    <row r="863" spans="1:15" hidden="1" x14ac:dyDescent="0.3">
      <c r="A863" s="49"/>
      <c r="B863" s="54">
        <v>46853</v>
      </c>
      <c r="C863" s="55" t="str">
        <f t="shared" si="12"/>
        <v>Mon</v>
      </c>
      <c r="D863" s="55"/>
      <c r="O863" s="49"/>
    </row>
    <row r="864" spans="1:15" hidden="1" x14ac:dyDescent="0.3">
      <c r="A864" s="49"/>
      <c r="B864" s="54">
        <v>46854</v>
      </c>
      <c r="C864" s="55" t="str">
        <f t="shared" si="12"/>
        <v>Tue</v>
      </c>
      <c r="D864" s="55"/>
      <c r="O864" s="49"/>
    </row>
    <row r="865" spans="1:15" hidden="1" x14ac:dyDescent="0.3">
      <c r="A865" s="49"/>
      <c r="B865" s="54">
        <v>46855</v>
      </c>
      <c r="C865" s="55" t="str">
        <f t="shared" si="12"/>
        <v>Wed</v>
      </c>
      <c r="D865" s="55"/>
      <c r="O865" s="49"/>
    </row>
    <row r="866" spans="1:15" hidden="1" x14ac:dyDescent="0.3">
      <c r="A866" s="49"/>
      <c r="B866" s="54">
        <v>46856</v>
      </c>
      <c r="C866" s="55" t="str">
        <f t="shared" ref="C866:C929" si="13">TEXT(B866,"ddd")</f>
        <v>Thu</v>
      </c>
      <c r="D866" s="55"/>
      <c r="O866" s="49"/>
    </row>
    <row r="867" spans="1:15" hidden="1" x14ac:dyDescent="0.3">
      <c r="A867" s="49"/>
      <c r="B867" s="54">
        <v>46857</v>
      </c>
      <c r="C867" s="55" t="str">
        <f t="shared" si="13"/>
        <v>Fri</v>
      </c>
      <c r="D867" s="55"/>
      <c r="O867" s="49"/>
    </row>
    <row r="868" spans="1:15" hidden="1" x14ac:dyDescent="0.3">
      <c r="A868" s="49"/>
      <c r="B868" s="54">
        <v>46858</v>
      </c>
      <c r="C868" s="55" t="str">
        <f t="shared" si="13"/>
        <v>Sat</v>
      </c>
      <c r="D868" s="55"/>
      <c r="O868" s="49"/>
    </row>
    <row r="869" spans="1:15" hidden="1" x14ac:dyDescent="0.3">
      <c r="A869" s="49"/>
      <c r="B869" s="54">
        <v>46859</v>
      </c>
      <c r="C869" s="55" t="str">
        <f t="shared" si="13"/>
        <v>Sun</v>
      </c>
      <c r="D869" s="55"/>
      <c r="O869" s="49"/>
    </row>
    <row r="870" spans="1:15" hidden="1" x14ac:dyDescent="0.3">
      <c r="A870" s="49"/>
      <c r="B870" s="54">
        <v>46860</v>
      </c>
      <c r="C870" s="55" t="str">
        <f t="shared" si="13"/>
        <v>Mon</v>
      </c>
      <c r="D870" s="55"/>
      <c r="O870" s="49"/>
    </row>
    <row r="871" spans="1:15" hidden="1" x14ac:dyDescent="0.3">
      <c r="A871" s="49"/>
      <c r="B871" s="54">
        <v>46861</v>
      </c>
      <c r="C871" s="55" t="str">
        <f t="shared" si="13"/>
        <v>Tue</v>
      </c>
      <c r="D871" s="55"/>
      <c r="O871" s="49"/>
    </row>
    <row r="872" spans="1:15" hidden="1" x14ac:dyDescent="0.3">
      <c r="A872" s="49"/>
      <c r="B872" s="54">
        <v>46862</v>
      </c>
      <c r="C872" s="55" t="str">
        <f t="shared" si="13"/>
        <v>Wed</v>
      </c>
      <c r="D872" s="55"/>
      <c r="O872" s="49"/>
    </row>
    <row r="873" spans="1:15" hidden="1" x14ac:dyDescent="0.3">
      <c r="A873" s="49"/>
      <c r="B873" s="54">
        <v>46863</v>
      </c>
      <c r="C873" s="55" t="str">
        <f t="shared" si="13"/>
        <v>Thu</v>
      </c>
      <c r="D873" s="55"/>
      <c r="O873" s="49"/>
    </row>
    <row r="874" spans="1:15" hidden="1" x14ac:dyDescent="0.3">
      <c r="A874" s="49"/>
      <c r="B874" s="54">
        <v>46864</v>
      </c>
      <c r="C874" s="55" t="str">
        <f t="shared" si="13"/>
        <v>Fri</v>
      </c>
      <c r="D874" s="55"/>
      <c r="O874" s="49"/>
    </row>
    <row r="875" spans="1:15" hidden="1" x14ac:dyDescent="0.3">
      <c r="A875" s="49"/>
      <c r="B875" s="54">
        <v>46865</v>
      </c>
      <c r="C875" s="55" t="str">
        <f t="shared" si="13"/>
        <v>Sat</v>
      </c>
      <c r="D875" s="55"/>
      <c r="O875" s="49"/>
    </row>
    <row r="876" spans="1:15" hidden="1" x14ac:dyDescent="0.3">
      <c r="A876" s="49"/>
      <c r="B876" s="54">
        <v>46866</v>
      </c>
      <c r="C876" s="55" t="str">
        <f t="shared" si="13"/>
        <v>Sun</v>
      </c>
      <c r="D876" s="55"/>
      <c r="O876" s="49"/>
    </row>
    <row r="877" spans="1:15" hidden="1" x14ac:dyDescent="0.3">
      <c r="A877" s="49"/>
      <c r="B877" s="54">
        <v>46867</v>
      </c>
      <c r="C877" s="55" t="str">
        <f t="shared" si="13"/>
        <v>Mon</v>
      </c>
      <c r="D877" s="55"/>
      <c r="O877" s="49"/>
    </row>
    <row r="878" spans="1:15" hidden="1" x14ac:dyDescent="0.3">
      <c r="A878" s="49"/>
      <c r="B878" s="54">
        <v>46868</v>
      </c>
      <c r="C878" s="55" t="str">
        <f t="shared" si="13"/>
        <v>Tue</v>
      </c>
      <c r="D878" s="55"/>
      <c r="O878" s="49"/>
    </row>
    <row r="879" spans="1:15" hidden="1" x14ac:dyDescent="0.3">
      <c r="A879" s="49"/>
      <c r="B879" s="54">
        <v>46869</v>
      </c>
      <c r="C879" s="55" t="str">
        <f t="shared" si="13"/>
        <v>Wed</v>
      </c>
      <c r="D879" s="55"/>
      <c r="O879" s="49"/>
    </row>
    <row r="880" spans="1:15" hidden="1" x14ac:dyDescent="0.3">
      <c r="A880" s="49"/>
      <c r="B880" s="54">
        <v>46870</v>
      </c>
      <c r="C880" s="55" t="str">
        <f t="shared" si="13"/>
        <v>Thu</v>
      </c>
      <c r="D880" s="55"/>
      <c r="O880" s="49"/>
    </row>
    <row r="881" spans="1:15" hidden="1" x14ac:dyDescent="0.3">
      <c r="A881" s="49"/>
      <c r="B881" s="54">
        <v>46871</v>
      </c>
      <c r="C881" s="55" t="str">
        <f t="shared" si="13"/>
        <v>Fri</v>
      </c>
      <c r="D881" s="55"/>
      <c r="O881" s="49"/>
    </row>
    <row r="882" spans="1:15" hidden="1" x14ac:dyDescent="0.3">
      <c r="A882" s="49"/>
      <c r="B882" s="54">
        <v>46872</v>
      </c>
      <c r="C882" s="55" t="str">
        <f t="shared" si="13"/>
        <v>Sat</v>
      </c>
      <c r="D882" s="55"/>
      <c r="O882" s="49"/>
    </row>
    <row r="883" spans="1:15" hidden="1" x14ac:dyDescent="0.3">
      <c r="A883" s="49"/>
      <c r="B883" s="54">
        <v>46873</v>
      </c>
      <c r="C883" s="55" t="str">
        <f t="shared" si="13"/>
        <v>Sun</v>
      </c>
      <c r="D883" s="55"/>
      <c r="O883" s="49"/>
    </row>
    <row r="884" spans="1:15" hidden="1" x14ac:dyDescent="0.3">
      <c r="A884" s="49"/>
      <c r="B884" s="54">
        <v>46874</v>
      </c>
      <c r="C884" s="55" t="str">
        <f t="shared" si="13"/>
        <v>Mon</v>
      </c>
      <c r="D884" s="55"/>
      <c r="O884" s="49"/>
    </row>
    <row r="885" spans="1:15" hidden="1" x14ac:dyDescent="0.3">
      <c r="A885" s="49"/>
      <c r="B885" s="54">
        <v>46875</v>
      </c>
      <c r="C885" s="55" t="str">
        <f t="shared" si="13"/>
        <v>Tue</v>
      </c>
      <c r="D885" s="55"/>
      <c r="O885" s="49"/>
    </row>
    <row r="886" spans="1:15" hidden="1" x14ac:dyDescent="0.3">
      <c r="A886" s="49"/>
      <c r="B886" s="54">
        <v>46876</v>
      </c>
      <c r="C886" s="55" t="str">
        <f t="shared" si="13"/>
        <v>Wed</v>
      </c>
      <c r="D886" s="55"/>
      <c r="O886" s="49"/>
    </row>
    <row r="887" spans="1:15" hidden="1" x14ac:dyDescent="0.3">
      <c r="A887" s="49"/>
      <c r="B887" s="54">
        <v>46877</v>
      </c>
      <c r="C887" s="55" t="str">
        <f t="shared" si="13"/>
        <v>Thu</v>
      </c>
      <c r="D887" s="55"/>
      <c r="O887" s="49"/>
    </row>
    <row r="888" spans="1:15" hidden="1" x14ac:dyDescent="0.3">
      <c r="A888" s="49"/>
      <c r="B888" s="54">
        <v>46878</v>
      </c>
      <c r="C888" s="55" t="str">
        <f t="shared" si="13"/>
        <v>Fri</v>
      </c>
      <c r="D888" s="55"/>
      <c r="O888" s="49"/>
    </row>
    <row r="889" spans="1:15" hidden="1" x14ac:dyDescent="0.3">
      <c r="A889" s="49"/>
      <c r="B889" s="54">
        <v>46879</v>
      </c>
      <c r="C889" s="55" t="str">
        <f t="shared" si="13"/>
        <v>Sat</v>
      </c>
      <c r="D889" s="55"/>
      <c r="O889" s="49"/>
    </row>
    <row r="890" spans="1:15" hidden="1" x14ac:dyDescent="0.3">
      <c r="A890" s="49"/>
      <c r="B890" s="54">
        <v>46880</v>
      </c>
      <c r="C890" s="55" t="str">
        <f t="shared" si="13"/>
        <v>Sun</v>
      </c>
      <c r="D890" s="55"/>
      <c r="O890" s="49"/>
    </row>
    <row r="891" spans="1:15" hidden="1" x14ac:dyDescent="0.3">
      <c r="A891" s="49"/>
      <c r="B891" s="54">
        <v>46881</v>
      </c>
      <c r="C891" s="55" t="str">
        <f t="shared" si="13"/>
        <v>Mon</v>
      </c>
      <c r="D891" s="55"/>
      <c r="O891" s="49"/>
    </row>
    <row r="892" spans="1:15" hidden="1" x14ac:dyDescent="0.3">
      <c r="A892" s="49"/>
      <c r="B892" s="54">
        <v>46882</v>
      </c>
      <c r="C892" s="55" t="str">
        <f t="shared" si="13"/>
        <v>Tue</v>
      </c>
      <c r="D892" s="55"/>
      <c r="O892" s="49"/>
    </row>
    <row r="893" spans="1:15" hidden="1" x14ac:dyDescent="0.3">
      <c r="A893" s="49"/>
      <c r="B893" s="54">
        <v>46883</v>
      </c>
      <c r="C893" s="55" t="str">
        <f t="shared" si="13"/>
        <v>Wed</v>
      </c>
      <c r="D893" s="55"/>
      <c r="O893" s="49"/>
    </row>
    <row r="894" spans="1:15" hidden="1" x14ac:dyDescent="0.3">
      <c r="A894" s="49"/>
      <c r="B894" s="54">
        <v>46884</v>
      </c>
      <c r="C894" s="55" t="str">
        <f t="shared" si="13"/>
        <v>Thu</v>
      </c>
      <c r="D894" s="55"/>
      <c r="O894" s="49"/>
    </row>
    <row r="895" spans="1:15" hidden="1" x14ac:dyDescent="0.3">
      <c r="A895" s="49"/>
      <c r="B895" s="54">
        <v>46885</v>
      </c>
      <c r="C895" s="55" t="str">
        <f t="shared" si="13"/>
        <v>Fri</v>
      </c>
      <c r="D895" s="55"/>
      <c r="O895" s="49"/>
    </row>
    <row r="896" spans="1:15" hidden="1" x14ac:dyDescent="0.3">
      <c r="A896" s="49"/>
      <c r="B896" s="54">
        <v>46886</v>
      </c>
      <c r="C896" s="55" t="str">
        <f t="shared" si="13"/>
        <v>Sat</v>
      </c>
      <c r="D896" s="55"/>
      <c r="O896" s="49"/>
    </row>
    <row r="897" spans="1:15" hidden="1" x14ac:dyDescent="0.3">
      <c r="A897" s="49"/>
      <c r="B897" s="54">
        <v>46887</v>
      </c>
      <c r="C897" s="55" t="str">
        <f t="shared" si="13"/>
        <v>Sun</v>
      </c>
      <c r="D897" s="55"/>
      <c r="O897" s="49"/>
    </row>
    <row r="898" spans="1:15" hidden="1" x14ac:dyDescent="0.3">
      <c r="A898" s="49"/>
      <c r="B898" s="54">
        <v>46888</v>
      </c>
      <c r="C898" s="55" t="str">
        <f t="shared" si="13"/>
        <v>Mon</v>
      </c>
      <c r="D898" s="55"/>
      <c r="O898" s="49"/>
    </row>
    <row r="899" spans="1:15" hidden="1" x14ac:dyDescent="0.3">
      <c r="A899" s="49"/>
      <c r="B899" s="54">
        <v>46889</v>
      </c>
      <c r="C899" s="55" t="str">
        <f t="shared" si="13"/>
        <v>Tue</v>
      </c>
      <c r="D899" s="55"/>
      <c r="O899" s="49"/>
    </row>
    <row r="900" spans="1:15" hidden="1" x14ac:dyDescent="0.3">
      <c r="A900" s="49"/>
      <c r="B900" s="54">
        <v>46890</v>
      </c>
      <c r="C900" s="55" t="str">
        <f t="shared" si="13"/>
        <v>Wed</v>
      </c>
      <c r="D900" s="55"/>
      <c r="O900" s="49"/>
    </row>
    <row r="901" spans="1:15" hidden="1" x14ac:dyDescent="0.3">
      <c r="A901" s="49"/>
      <c r="B901" s="54">
        <v>46891</v>
      </c>
      <c r="C901" s="55" t="str">
        <f t="shared" si="13"/>
        <v>Thu</v>
      </c>
      <c r="D901" s="55"/>
      <c r="O901" s="49"/>
    </row>
    <row r="902" spans="1:15" hidden="1" x14ac:dyDescent="0.3">
      <c r="A902" s="49"/>
      <c r="B902" s="54">
        <v>46892</v>
      </c>
      <c r="C902" s="55" t="str">
        <f t="shared" si="13"/>
        <v>Fri</v>
      </c>
      <c r="D902" s="55"/>
      <c r="O902" s="49"/>
    </row>
    <row r="903" spans="1:15" hidden="1" x14ac:dyDescent="0.3">
      <c r="A903" s="49"/>
      <c r="B903" s="54">
        <v>46893</v>
      </c>
      <c r="C903" s="55" t="str">
        <f t="shared" si="13"/>
        <v>Sat</v>
      </c>
      <c r="D903" s="55"/>
      <c r="O903" s="49"/>
    </row>
    <row r="904" spans="1:15" hidden="1" x14ac:dyDescent="0.3">
      <c r="A904" s="49"/>
      <c r="B904" s="54">
        <v>46894</v>
      </c>
      <c r="C904" s="55" t="str">
        <f t="shared" si="13"/>
        <v>Sun</v>
      </c>
      <c r="D904" s="55"/>
      <c r="O904" s="49"/>
    </row>
    <row r="905" spans="1:15" hidden="1" x14ac:dyDescent="0.3">
      <c r="A905" s="49"/>
      <c r="B905" s="54">
        <v>46895</v>
      </c>
      <c r="C905" s="55" t="str">
        <f t="shared" si="13"/>
        <v>Mon</v>
      </c>
      <c r="D905" s="55"/>
      <c r="O905" s="49"/>
    </row>
    <row r="906" spans="1:15" hidden="1" x14ac:dyDescent="0.3">
      <c r="A906" s="49"/>
      <c r="B906" s="54">
        <v>46896</v>
      </c>
      <c r="C906" s="55" t="str">
        <f t="shared" si="13"/>
        <v>Tue</v>
      </c>
      <c r="D906" s="55"/>
      <c r="O906" s="49"/>
    </row>
    <row r="907" spans="1:15" hidden="1" x14ac:dyDescent="0.3">
      <c r="A907" s="49"/>
      <c r="B907" s="54">
        <v>46897</v>
      </c>
      <c r="C907" s="55" t="str">
        <f t="shared" si="13"/>
        <v>Wed</v>
      </c>
      <c r="D907" s="55"/>
      <c r="O907" s="49"/>
    </row>
    <row r="908" spans="1:15" hidden="1" x14ac:dyDescent="0.3">
      <c r="A908" s="49"/>
      <c r="B908" s="54">
        <v>46898</v>
      </c>
      <c r="C908" s="55" t="str">
        <f t="shared" si="13"/>
        <v>Thu</v>
      </c>
      <c r="D908" s="55"/>
      <c r="O908" s="49"/>
    </row>
    <row r="909" spans="1:15" hidden="1" x14ac:dyDescent="0.3">
      <c r="A909" s="49"/>
      <c r="B909" s="54">
        <v>46899</v>
      </c>
      <c r="C909" s="55" t="str">
        <f t="shared" si="13"/>
        <v>Fri</v>
      </c>
      <c r="D909" s="55"/>
      <c r="O909" s="49"/>
    </row>
    <row r="910" spans="1:15" hidden="1" x14ac:dyDescent="0.3">
      <c r="A910" s="49"/>
      <c r="B910" s="54">
        <v>46900</v>
      </c>
      <c r="C910" s="55" t="str">
        <f t="shared" si="13"/>
        <v>Sat</v>
      </c>
      <c r="D910" s="55"/>
      <c r="O910" s="49"/>
    </row>
    <row r="911" spans="1:15" hidden="1" x14ac:dyDescent="0.3">
      <c r="A911" s="49"/>
      <c r="B911" s="54">
        <v>46901</v>
      </c>
      <c r="C911" s="55" t="str">
        <f t="shared" si="13"/>
        <v>Sun</v>
      </c>
      <c r="D911" s="55"/>
      <c r="O911" s="49"/>
    </row>
    <row r="912" spans="1:15" hidden="1" x14ac:dyDescent="0.3">
      <c r="A912" s="49"/>
      <c r="B912" s="54">
        <v>46902</v>
      </c>
      <c r="C912" s="55" t="str">
        <f t="shared" si="13"/>
        <v>Mon</v>
      </c>
      <c r="D912" s="55"/>
      <c r="O912" s="49"/>
    </row>
    <row r="913" spans="1:15" hidden="1" x14ac:dyDescent="0.3">
      <c r="A913" s="49"/>
      <c r="B913" s="54">
        <v>46903</v>
      </c>
      <c r="C913" s="55" t="str">
        <f t="shared" si="13"/>
        <v>Tue</v>
      </c>
      <c r="D913" s="55"/>
      <c r="O913" s="49"/>
    </row>
    <row r="914" spans="1:15" hidden="1" x14ac:dyDescent="0.3">
      <c r="A914" s="49"/>
      <c r="B914" s="54">
        <v>46904</v>
      </c>
      <c r="C914" s="55" t="str">
        <f t="shared" si="13"/>
        <v>Wed</v>
      </c>
      <c r="D914" s="55"/>
      <c r="O914" s="49"/>
    </row>
    <row r="915" spans="1:15" hidden="1" x14ac:dyDescent="0.3">
      <c r="A915" s="49"/>
      <c r="B915" s="54">
        <v>46905</v>
      </c>
      <c r="C915" s="55" t="str">
        <f t="shared" si="13"/>
        <v>Thu</v>
      </c>
      <c r="D915" s="55"/>
      <c r="O915" s="49"/>
    </row>
    <row r="916" spans="1:15" hidden="1" x14ac:dyDescent="0.3">
      <c r="A916" s="49"/>
      <c r="B916" s="54">
        <v>46906</v>
      </c>
      <c r="C916" s="55" t="str">
        <f t="shared" si="13"/>
        <v>Fri</v>
      </c>
      <c r="D916" s="55"/>
      <c r="O916" s="49"/>
    </row>
    <row r="917" spans="1:15" hidden="1" x14ac:dyDescent="0.3">
      <c r="A917" s="49"/>
      <c r="B917" s="54">
        <v>46907</v>
      </c>
      <c r="C917" s="55" t="str">
        <f t="shared" si="13"/>
        <v>Sat</v>
      </c>
      <c r="D917" s="55"/>
      <c r="O917" s="49"/>
    </row>
    <row r="918" spans="1:15" hidden="1" x14ac:dyDescent="0.3">
      <c r="A918" s="49"/>
      <c r="B918" s="54">
        <v>46908</v>
      </c>
      <c r="C918" s="55" t="str">
        <f t="shared" si="13"/>
        <v>Sun</v>
      </c>
      <c r="D918" s="55"/>
      <c r="O918" s="49"/>
    </row>
    <row r="919" spans="1:15" hidden="1" x14ac:dyDescent="0.3">
      <c r="A919" s="49"/>
      <c r="B919" s="54">
        <v>46909</v>
      </c>
      <c r="C919" s="55" t="str">
        <f t="shared" si="13"/>
        <v>Mon</v>
      </c>
      <c r="D919" s="55"/>
      <c r="O919" s="49"/>
    </row>
    <row r="920" spans="1:15" hidden="1" x14ac:dyDescent="0.3">
      <c r="A920" s="49"/>
      <c r="B920" s="54">
        <v>46910</v>
      </c>
      <c r="C920" s="55" t="str">
        <f t="shared" si="13"/>
        <v>Tue</v>
      </c>
      <c r="D920" s="55"/>
      <c r="O920" s="49"/>
    </row>
    <row r="921" spans="1:15" hidden="1" x14ac:dyDescent="0.3">
      <c r="A921" s="49"/>
      <c r="B921" s="54">
        <v>46911</v>
      </c>
      <c r="C921" s="55" t="str">
        <f t="shared" si="13"/>
        <v>Wed</v>
      </c>
      <c r="D921" s="55"/>
      <c r="O921" s="49"/>
    </row>
    <row r="922" spans="1:15" hidden="1" x14ac:dyDescent="0.3">
      <c r="A922" s="49"/>
      <c r="B922" s="54">
        <v>46912</v>
      </c>
      <c r="C922" s="55" t="str">
        <f t="shared" si="13"/>
        <v>Thu</v>
      </c>
      <c r="D922" s="55"/>
      <c r="O922" s="49"/>
    </row>
    <row r="923" spans="1:15" hidden="1" x14ac:dyDescent="0.3">
      <c r="A923" s="49"/>
      <c r="B923" s="54">
        <v>46913</v>
      </c>
      <c r="C923" s="55" t="str">
        <f t="shared" si="13"/>
        <v>Fri</v>
      </c>
      <c r="D923" s="55"/>
      <c r="O923" s="49"/>
    </row>
    <row r="924" spans="1:15" hidden="1" x14ac:dyDescent="0.3">
      <c r="A924" s="49"/>
      <c r="B924" s="54">
        <v>46914</v>
      </c>
      <c r="C924" s="55" t="str">
        <f t="shared" si="13"/>
        <v>Sat</v>
      </c>
      <c r="D924" s="55"/>
      <c r="O924" s="49"/>
    </row>
    <row r="925" spans="1:15" hidden="1" x14ac:dyDescent="0.3">
      <c r="A925" s="49"/>
      <c r="B925" s="54">
        <v>46915</v>
      </c>
      <c r="C925" s="55" t="str">
        <f t="shared" si="13"/>
        <v>Sun</v>
      </c>
      <c r="D925" s="55"/>
      <c r="O925" s="49"/>
    </row>
    <row r="926" spans="1:15" hidden="1" x14ac:dyDescent="0.3">
      <c r="A926" s="49"/>
      <c r="B926" s="54">
        <v>46916</v>
      </c>
      <c r="C926" s="55" t="str">
        <f t="shared" si="13"/>
        <v>Mon</v>
      </c>
      <c r="D926" s="55"/>
      <c r="O926" s="49"/>
    </row>
    <row r="927" spans="1:15" hidden="1" x14ac:dyDescent="0.3">
      <c r="A927" s="49"/>
      <c r="B927" s="54">
        <v>46917</v>
      </c>
      <c r="C927" s="55" t="str">
        <f t="shared" si="13"/>
        <v>Tue</v>
      </c>
      <c r="D927" s="55"/>
      <c r="O927" s="49"/>
    </row>
    <row r="928" spans="1:15" hidden="1" x14ac:dyDescent="0.3">
      <c r="A928" s="49"/>
      <c r="B928" s="54">
        <v>46918</v>
      </c>
      <c r="C928" s="55" t="str">
        <f t="shared" si="13"/>
        <v>Wed</v>
      </c>
      <c r="D928" s="55"/>
      <c r="O928" s="49"/>
    </row>
    <row r="929" spans="1:15" hidden="1" x14ac:dyDescent="0.3">
      <c r="A929" s="49"/>
      <c r="B929" s="54">
        <v>46919</v>
      </c>
      <c r="C929" s="55" t="str">
        <f t="shared" si="13"/>
        <v>Thu</v>
      </c>
      <c r="D929" s="55"/>
      <c r="O929" s="49"/>
    </row>
    <row r="930" spans="1:15" hidden="1" x14ac:dyDescent="0.3">
      <c r="A930" s="49"/>
      <c r="B930" s="54">
        <v>46920</v>
      </c>
      <c r="C930" s="55" t="str">
        <f t="shared" ref="C930:C993" si="14">TEXT(B930,"ddd")</f>
        <v>Fri</v>
      </c>
      <c r="D930" s="55"/>
      <c r="O930" s="49"/>
    </row>
    <row r="931" spans="1:15" hidden="1" x14ac:dyDescent="0.3">
      <c r="A931" s="49"/>
      <c r="B931" s="54">
        <v>46921</v>
      </c>
      <c r="C931" s="55" t="str">
        <f t="shared" si="14"/>
        <v>Sat</v>
      </c>
      <c r="D931" s="55"/>
      <c r="O931" s="49"/>
    </row>
    <row r="932" spans="1:15" hidden="1" x14ac:dyDescent="0.3">
      <c r="A932" s="49"/>
      <c r="B932" s="54">
        <v>46922</v>
      </c>
      <c r="C932" s="55" t="str">
        <f t="shared" si="14"/>
        <v>Sun</v>
      </c>
      <c r="D932" s="55"/>
      <c r="O932" s="49"/>
    </row>
    <row r="933" spans="1:15" hidden="1" x14ac:dyDescent="0.3">
      <c r="A933" s="49"/>
      <c r="B933" s="54">
        <v>46923</v>
      </c>
      <c r="C933" s="55" t="str">
        <f t="shared" si="14"/>
        <v>Mon</v>
      </c>
      <c r="D933" s="55"/>
      <c r="O933" s="49"/>
    </row>
    <row r="934" spans="1:15" hidden="1" x14ac:dyDescent="0.3">
      <c r="A934" s="49"/>
      <c r="B934" s="54">
        <v>46924</v>
      </c>
      <c r="C934" s="55" t="str">
        <f t="shared" si="14"/>
        <v>Tue</v>
      </c>
      <c r="D934" s="55"/>
      <c r="O934" s="49"/>
    </row>
    <row r="935" spans="1:15" hidden="1" x14ac:dyDescent="0.3">
      <c r="A935" s="49"/>
      <c r="B935" s="54">
        <v>46925</v>
      </c>
      <c r="C935" s="55" t="str">
        <f t="shared" si="14"/>
        <v>Wed</v>
      </c>
      <c r="D935" s="55"/>
      <c r="O935" s="49"/>
    </row>
    <row r="936" spans="1:15" hidden="1" x14ac:dyDescent="0.3">
      <c r="A936" s="49"/>
      <c r="B936" s="54">
        <v>46926</v>
      </c>
      <c r="C936" s="55" t="str">
        <f t="shared" si="14"/>
        <v>Thu</v>
      </c>
      <c r="D936" s="55"/>
      <c r="O936" s="49"/>
    </row>
    <row r="937" spans="1:15" hidden="1" x14ac:dyDescent="0.3">
      <c r="A937" s="49"/>
      <c r="B937" s="54">
        <v>46927</v>
      </c>
      <c r="C937" s="55" t="str">
        <f t="shared" si="14"/>
        <v>Fri</v>
      </c>
      <c r="D937" s="55"/>
      <c r="O937" s="49"/>
    </row>
    <row r="938" spans="1:15" hidden="1" x14ac:dyDescent="0.3">
      <c r="A938" s="49"/>
      <c r="B938" s="54">
        <v>46928</v>
      </c>
      <c r="C938" s="55" t="str">
        <f t="shared" si="14"/>
        <v>Sat</v>
      </c>
      <c r="D938" s="55"/>
      <c r="O938" s="49"/>
    </row>
    <row r="939" spans="1:15" hidden="1" x14ac:dyDescent="0.3">
      <c r="A939" s="49"/>
      <c r="B939" s="54">
        <v>46929</v>
      </c>
      <c r="C939" s="55" t="str">
        <f t="shared" si="14"/>
        <v>Sun</v>
      </c>
      <c r="D939" s="55"/>
      <c r="O939" s="49"/>
    </row>
    <row r="940" spans="1:15" hidden="1" x14ac:dyDescent="0.3">
      <c r="A940" s="49"/>
      <c r="B940" s="54">
        <v>46930</v>
      </c>
      <c r="C940" s="55" t="str">
        <f t="shared" si="14"/>
        <v>Mon</v>
      </c>
      <c r="D940" s="55"/>
      <c r="O940" s="49"/>
    </row>
    <row r="941" spans="1:15" hidden="1" x14ac:dyDescent="0.3">
      <c r="A941" s="49"/>
      <c r="B941" s="54">
        <v>46931</v>
      </c>
      <c r="C941" s="55" t="str">
        <f t="shared" si="14"/>
        <v>Tue</v>
      </c>
      <c r="D941" s="55"/>
      <c r="O941" s="49"/>
    </row>
    <row r="942" spans="1:15" hidden="1" x14ac:dyDescent="0.3">
      <c r="A942" s="49"/>
      <c r="B942" s="54">
        <v>46932</v>
      </c>
      <c r="C942" s="55" t="str">
        <f t="shared" si="14"/>
        <v>Wed</v>
      </c>
      <c r="D942" s="55"/>
      <c r="O942" s="49"/>
    </row>
    <row r="943" spans="1:15" hidden="1" x14ac:dyDescent="0.3">
      <c r="A943" s="49"/>
      <c r="B943" s="54">
        <v>46933</v>
      </c>
      <c r="C943" s="55" t="str">
        <f t="shared" si="14"/>
        <v>Thu</v>
      </c>
      <c r="D943" s="55"/>
      <c r="O943" s="49"/>
    </row>
    <row r="944" spans="1:15" hidden="1" x14ac:dyDescent="0.3">
      <c r="A944" s="49"/>
      <c r="B944" s="54">
        <v>46934</v>
      </c>
      <c r="C944" s="55" t="str">
        <f t="shared" si="14"/>
        <v>Fri</v>
      </c>
      <c r="D944" s="55"/>
      <c r="O944" s="49"/>
    </row>
    <row r="945" spans="1:15" hidden="1" x14ac:dyDescent="0.3">
      <c r="A945" s="49"/>
      <c r="B945" s="54">
        <v>46935</v>
      </c>
      <c r="C945" s="55" t="str">
        <f t="shared" si="14"/>
        <v>Sat</v>
      </c>
      <c r="D945" s="55"/>
      <c r="O945" s="49"/>
    </row>
    <row r="946" spans="1:15" hidden="1" x14ac:dyDescent="0.3">
      <c r="A946" s="49"/>
      <c r="B946" s="54">
        <v>46936</v>
      </c>
      <c r="C946" s="55" t="str">
        <f t="shared" si="14"/>
        <v>Sun</v>
      </c>
      <c r="D946" s="55"/>
      <c r="O946" s="49"/>
    </row>
    <row r="947" spans="1:15" hidden="1" x14ac:dyDescent="0.3">
      <c r="A947" s="49"/>
      <c r="B947" s="54">
        <v>46937</v>
      </c>
      <c r="C947" s="55" t="str">
        <f t="shared" si="14"/>
        <v>Mon</v>
      </c>
      <c r="D947" s="55"/>
      <c r="O947" s="49"/>
    </row>
    <row r="948" spans="1:15" hidden="1" x14ac:dyDescent="0.3">
      <c r="A948" s="49"/>
      <c r="B948" s="54">
        <v>46938</v>
      </c>
      <c r="C948" s="55" t="str">
        <f t="shared" si="14"/>
        <v>Tue</v>
      </c>
      <c r="D948" s="55"/>
      <c r="O948" s="49"/>
    </row>
    <row r="949" spans="1:15" hidden="1" x14ac:dyDescent="0.3">
      <c r="A949" s="49"/>
      <c r="B949" s="54">
        <v>46939</v>
      </c>
      <c r="C949" s="55" t="str">
        <f t="shared" si="14"/>
        <v>Wed</v>
      </c>
      <c r="D949" s="55"/>
      <c r="O949" s="49"/>
    </row>
    <row r="950" spans="1:15" hidden="1" x14ac:dyDescent="0.3">
      <c r="A950" s="49"/>
      <c r="B950" s="54">
        <v>46940</v>
      </c>
      <c r="C950" s="55" t="str">
        <f t="shared" si="14"/>
        <v>Thu</v>
      </c>
      <c r="D950" s="55"/>
      <c r="O950" s="49"/>
    </row>
    <row r="951" spans="1:15" hidden="1" x14ac:dyDescent="0.3">
      <c r="A951" s="49"/>
      <c r="B951" s="54">
        <v>46941</v>
      </c>
      <c r="C951" s="55" t="str">
        <f t="shared" si="14"/>
        <v>Fri</v>
      </c>
      <c r="D951" s="55"/>
      <c r="O951" s="49"/>
    </row>
    <row r="952" spans="1:15" hidden="1" x14ac:dyDescent="0.3">
      <c r="A952" s="49"/>
      <c r="B952" s="54">
        <v>46942</v>
      </c>
      <c r="C952" s="55" t="str">
        <f t="shared" si="14"/>
        <v>Sat</v>
      </c>
      <c r="D952" s="55"/>
      <c r="O952" s="49"/>
    </row>
    <row r="953" spans="1:15" hidden="1" x14ac:dyDescent="0.3">
      <c r="A953" s="49"/>
      <c r="B953" s="54">
        <v>46943</v>
      </c>
      <c r="C953" s="55" t="str">
        <f t="shared" si="14"/>
        <v>Sun</v>
      </c>
      <c r="D953" s="55"/>
      <c r="O953" s="49"/>
    </row>
    <row r="954" spans="1:15" hidden="1" x14ac:dyDescent="0.3">
      <c r="A954" s="49"/>
      <c r="B954" s="54">
        <v>46944</v>
      </c>
      <c r="C954" s="55" t="str">
        <f t="shared" si="14"/>
        <v>Mon</v>
      </c>
      <c r="D954" s="55"/>
      <c r="O954" s="49"/>
    </row>
    <row r="955" spans="1:15" hidden="1" x14ac:dyDescent="0.3">
      <c r="A955" s="49"/>
      <c r="B955" s="54">
        <v>46945</v>
      </c>
      <c r="C955" s="55" t="str">
        <f t="shared" si="14"/>
        <v>Tue</v>
      </c>
      <c r="D955" s="55"/>
      <c r="O955" s="49"/>
    </row>
    <row r="956" spans="1:15" hidden="1" x14ac:dyDescent="0.3">
      <c r="A956" s="49"/>
      <c r="B956" s="54">
        <v>46946</v>
      </c>
      <c r="C956" s="55" t="str">
        <f t="shared" si="14"/>
        <v>Wed</v>
      </c>
      <c r="D956" s="55"/>
      <c r="O956" s="49"/>
    </row>
    <row r="957" spans="1:15" hidden="1" x14ac:dyDescent="0.3">
      <c r="A957" s="49"/>
      <c r="B957" s="54">
        <v>46947</v>
      </c>
      <c r="C957" s="55" t="str">
        <f t="shared" si="14"/>
        <v>Thu</v>
      </c>
      <c r="D957" s="55"/>
      <c r="O957" s="49"/>
    </row>
    <row r="958" spans="1:15" hidden="1" x14ac:dyDescent="0.3">
      <c r="A958" s="49"/>
      <c r="B958" s="54">
        <v>46948</v>
      </c>
      <c r="C958" s="55" t="str">
        <f t="shared" si="14"/>
        <v>Fri</v>
      </c>
      <c r="D958" s="55"/>
      <c r="O958" s="49"/>
    </row>
    <row r="959" spans="1:15" hidden="1" x14ac:dyDescent="0.3">
      <c r="A959" s="49"/>
      <c r="B959" s="54">
        <v>46949</v>
      </c>
      <c r="C959" s="55" t="str">
        <f t="shared" si="14"/>
        <v>Sat</v>
      </c>
      <c r="D959" s="55"/>
      <c r="O959" s="49"/>
    </row>
    <row r="960" spans="1:15" hidden="1" x14ac:dyDescent="0.3">
      <c r="A960" s="49"/>
      <c r="B960" s="54">
        <v>46950</v>
      </c>
      <c r="C960" s="55" t="str">
        <f t="shared" si="14"/>
        <v>Sun</v>
      </c>
      <c r="D960" s="55"/>
      <c r="O960" s="49"/>
    </row>
    <row r="961" spans="1:15" hidden="1" x14ac:dyDescent="0.3">
      <c r="A961" s="49"/>
      <c r="B961" s="54">
        <v>46951</v>
      </c>
      <c r="C961" s="55" t="str">
        <f t="shared" si="14"/>
        <v>Mon</v>
      </c>
      <c r="D961" s="55"/>
      <c r="O961" s="49"/>
    </row>
    <row r="962" spans="1:15" hidden="1" x14ac:dyDescent="0.3">
      <c r="A962" s="49"/>
      <c r="B962" s="54">
        <v>46952</v>
      </c>
      <c r="C962" s="55" t="str">
        <f t="shared" si="14"/>
        <v>Tue</v>
      </c>
      <c r="D962" s="55"/>
      <c r="O962" s="49"/>
    </row>
    <row r="963" spans="1:15" hidden="1" x14ac:dyDescent="0.3">
      <c r="A963" s="49"/>
      <c r="B963" s="54">
        <v>46953</v>
      </c>
      <c r="C963" s="55" t="str">
        <f t="shared" si="14"/>
        <v>Wed</v>
      </c>
      <c r="D963" s="55"/>
      <c r="O963" s="49"/>
    </row>
    <row r="964" spans="1:15" hidden="1" x14ac:dyDescent="0.3">
      <c r="A964" s="49"/>
      <c r="B964" s="54">
        <v>46954</v>
      </c>
      <c r="C964" s="55" t="str">
        <f t="shared" si="14"/>
        <v>Thu</v>
      </c>
      <c r="D964" s="55"/>
      <c r="O964" s="49"/>
    </row>
    <row r="965" spans="1:15" hidden="1" x14ac:dyDescent="0.3">
      <c r="A965" s="49"/>
      <c r="B965" s="54">
        <v>46955</v>
      </c>
      <c r="C965" s="55" t="str">
        <f t="shared" si="14"/>
        <v>Fri</v>
      </c>
      <c r="D965" s="55"/>
      <c r="O965" s="49"/>
    </row>
    <row r="966" spans="1:15" hidden="1" x14ac:dyDescent="0.3">
      <c r="A966" s="49"/>
      <c r="B966" s="54">
        <v>46956</v>
      </c>
      <c r="C966" s="55" t="str">
        <f t="shared" si="14"/>
        <v>Sat</v>
      </c>
      <c r="D966" s="55"/>
      <c r="O966" s="49"/>
    </row>
    <row r="967" spans="1:15" hidden="1" x14ac:dyDescent="0.3">
      <c r="A967" s="49"/>
      <c r="B967" s="54">
        <v>46957</v>
      </c>
      <c r="C967" s="55" t="str">
        <f t="shared" si="14"/>
        <v>Sun</v>
      </c>
      <c r="D967" s="55"/>
      <c r="O967" s="49"/>
    </row>
    <row r="968" spans="1:15" hidden="1" x14ac:dyDescent="0.3">
      <c r="A968" s="49"/>
      <c r="B968" s="54">
        <v>46958</v>
      </c>
      <c r="C968" s="55" t="str">
        <f t="shared" si="14"/>
        <v>Mon</v>
      </c>
      <c r="D968" s="55"/>
      <c r="O968" s="49"/>
    </row>
    <row r="969" spans="1:15" hidden="1" x14ac:dyDescent="0.3">
      <c r="A969" s="49"/>
      <c r="B969" s="54">
        <v>46959</v>
      </c>
      <c r="C969" s="55" t="str">
        <f t="shared" si="14"/>
        <v>Tue</v>
      </c>
      <c r="D969" s="55"/>
      <c r="O969" s="49"/>
    </row>
    <row r="970" spans="1:15" hidden="1" x14ac:dyDescent="0.3">
      <c r="A970" s="49"/>
      <c r="B970" s="54">
        <v>46960</v>
      </c>
      <c r="C970" s="55" t="str">
        <f t="shared" si="14"/>
        <v>Wed</v>
      </c>
      <c r="D970" s="55"/>
      <c r="O970" s="49"/>
    </row>
    <row r="971" spans="1:15" hidden="1" x14ac:dyDescent="0.3">
      <c r="A971" s="49"/>
      <c r="B971" s="54">
        <v>46961</v>
      </c>
      <c r="C971" s="55" t="str">
        <f t="shared" si="14"/>
        <v>Thu</v>
      </c>
      <c r="D971" s="55"/>
      <c r="O971" s="49"/>
    </row>
    <row r="972" spans="1:15" hidden="1" x14ac:dyDescent="0.3">
      <c r="A972" s="49"/>
      <c r="B972" s="54">
        <v>46962</v>
      </c>
      <c r="C972" s="55" t="str">
        <f t="shared" si="14"/>
        <v>Fri</v>
      </c>
      <c r="D972" s="55"/>
      <c r="O972" s="49"/>
    </row>
    <row r="973" spans="1:15" hidden="1" x14ac:dyDescent="0.3">
      <c r="A973" s="49"/>
      <c r="B973" s="54">
        <v>46963</v>
      </c>
      <c r="C973" s="55" t="str">
        <f t="shared" si="14"/>
        <v>Sat</v>
      </c>
      <c r="D973" s="55"/>
      <c r="O973" s="49"/>
    </row>
    <row r="974" spans="1:15" hidden="1" x14ac:dyDescent="0.3">
      <c r="A974" s="49"/>
      <c r="B974" s="54">
        <v>46964</v>
      </c>
      <c r="C974" s="55" t="str">
        <f t="shared" si="14"/>
        <v>Sun</v>
      </c>
      <c r="D974" s="55"/>
      <c r="O974" s="49"/>
    </row>
    <row r="975" spans="1:15" hidden="1" x14ac:dyDescent="0.3">
      <c r="A975" s="49"/>
      <c r="B975" s="54">
        <v>46965</v>
      </c>
      <c r="C975" s="55" t="str">
        <f t="shared" si="14"/>
        <v>Mon</v>
      </c>
      <c r="D975" s="55"/>
      <c r="O975" s="49"/>
    </row>
    <row r="976" spans="1:15" hidden="1" x14ac:dyDescent="0.3">
      <c r="A976" s="49"/>
      <c r="B976" s="54">
        <v>46966</v>
      </c>
      <c r="C976" s="55" t="str">
        <f t="shared" si="14"/>
        <v>Tue</v>
      </c>
      <c r="D976" s="55"/>
      <c r="O976" s="49"/>
    </row>
    <row r="977" spans="1:15" hidden="1" x14ac:dyDescent="0.3">
      <c r="A977" s="49"/>
      <c r="B977" s="54">
        <v>46967</v>
      </c>
      <c r="C977" s="55" t="str">
        <f t="shared" si="14"/>
        <v>Wed</v>
      </c>
      <c r="D977" s="55"/>
      <c r="O977" s="49"/>
    </row>
    <row r="978" spans="1:15" hidden="1" x14ac:dyDescent="0.3">
      <c r="A978" s="49"/>
      <c r="B978" s="54">
        <v>46968</v>
      </c>
      <c r="C978" s="55" t="str">
        <f t="shared" si="14"/>
        <v>Thu</v>
      </c>
      <c r="D978" s="55"/>
      <c r="O978" s="49"/>
    </row>
    <row r="979" spans="1:15" hidden="1" x14ac:dyDescent="0.3">
      <c r="A979" s="49"/>
      <c r="B979" s="54">
        <v>46969</v>
      </c>
      <c r="C979" s="55" t="str">
        <f t="shared" si="14"/>
        <v>Fri</v>
      </c>
      <c r="D979" s="55"/>
      <c r="O979" s="49"/>
    </row>
    <row r="980" spans="1:15" hidden="1" x14ac:dyDescent="0.3">
      <c r="A980" s="49"/>
      <c r="B980" s="54">
        <v>46970</v>
      </c>
      <c r="C980" s="55" t="str">
        <f t="shared" si="14"/>
        <v>Sat</v>
      </c>
      <c r="D980" s="55"/>
      <c r="O980" s="49"/>
    </row>
    <row r="981" spans="1:15" hidden="1" x14ac:dyDescent="0.3">
      <c r="A981" s="49"/>
      <c r="B981" s="54">
        <v>46971</v>
      </c>
      <c r="C981" s="55" t="str">
        <f t="shared" si="14"/>
        <v>Sun</v>
      </c>
      <c r="D981" s="55"/>
      <c r="O981" s="49"/>
    </row>
    <row r="982" spans="1:15" hidden="1" x14ac:dyDescent="0.3">
      <c r="A982" s="49"/>
      <c r="B982" s="54">
        <v>46972</v>
      </c>
      <c r="C982" s="55" t="str">
        <f t="shared" si="14"/>
        <v>Mon</v>
      </c>
      <c r="D982" s="55"/>
      <c r="O982" s="49"/>
    </row>
    <row r="983" spans="1:15" hidden="1" x14ac:dyDescent="0.3">
      <c r="A983" s="49"/>
      <c r="B983" s="54">
        <v>46973</v>
      </c>
      <c r="C983" s="55" t="str">
        <f t="shared" si="14"/>
        <v>Tue</v>
      </c>
      <c r="D983" s="55"/>
      <c r="O983" s="49"/>
    </row>
    <row r="984" spans="1:15" hidden="1" x14ac:dyDescent="0.3">
      <c r="A984" s="49"/>
      <c r="B984" s="54">
        <v>46974</v>
      </c>
      <c r="C984" s="55" t="str">
        <f t="shared" si="14"/>
        <v>Wed</v>
      </c>
      <c r="D984" s="55"/>
      <c r="O984" s="49"/>
    </row>
    <row r="985" spans="1:15" hidden="1" x14ac:dyDescent="0.3">
      <c r="A985" s="49"/>
      <c r="B985" s="54">
        <v>46975</v>
      </c>
      <c r="C985" s="55" t="str">
        <f t="shared" si="14"/>
        <v>Thu</v>
      </c>
      <c r="D985" s="55"/>
      <c r="O985" s="49"/>
    </row>
    <row r="986" spans="1:15" hidden="1" x14ac:dyDescent="0.3">
      <c r="A986" s="49"/>
      <c r="B986" s="54">
        <v>46976</v>
      </c>
      <c r="C986" s="55" t="str">
        <f t="shared" si="14"/>
        <v>Fri</v>
      </c>
      <c r="D986" s="55"/>
      <c r="O986" s="49"/>
    </row>
    <row r="987" spans="1:15" hidden="1" x14ac:dyDescent="0.3">
      <c r="A987" s="49"/>
      <c r="B987" s="54">
        <v>46977</v>
      </c>
      <c r="C987" s="55" t="str">
        <f t="shared" si="14"/>
        <v>Sat</v>
      </c>
      <c r="D987" s="55"/>
      <c r="O987" s="49"/>
    </row>
    <row r="988" spans="1:15" hidden="1" x14ac:dyDescent="0.3">
      <c r="A988" s="49"/>
      <c r="B988" s="54">
        <v>46978</v>
      </c>
      <c r="C988" s="55" t="str">
        <f t="shared" si="14"/>
        <v>Sun</v>
      </c>
      <c r="D988" s="55"/>
      <c r="O988" s="49"/>
    </row>
    <row r="989" spans="1:15" hidden="1" x14ac:dyDescent="0.3">
      <c r="A989" s="49"/>
      <c r="B989" s="54">
        <v>46979</v>
      </c>
      <c r="C989" s="55" t="str">
        <f t="shared" si="14"/>
        <v>Mon</v>
      </c>
      <c r="D989" s="55"/>
      <c r="O989" s="49"/>
    </row>
    <row r="990" spans="1:15" hidden="1" x14ac:dyDescent="0.3">
      <c r="A990" s="49"/>
      <c r="B990" s="54">
        <v>46980</v>
      </c>
      <c r="C990" s="55" t="str">
        <f t="shared" si="14"/>
        <v>Tue</v>
      </c>
      <c r="D990" s="55"/>
      <c r="O990" s="49"/>
    </row>
    <row r="991" spans="1:15" hidden="1" x14ac:dyDescent="0.3">
      <c r="A991" s="49"/>
      <c r="B991" s="54">
        <v>46981</v>
      </c>
      <c r="C991" s="55" t="str">
        <f t="shared" si="14"/>
        <v>Wed</v>
      </c>
      <c r="D991" s="55"/>
      <c r="O991" s="49"/>
    </row>
    <row r="992" spans="1:15" hidden="1" x14ac:dyDescent="0.3">
      <c r="A992" s="49"/>
      <c r="B992" s="54">
        <v>46982</v>
      </c>
      <c r="C992" s="55" t="str">
        <f t="shared" si="14"/>
        <v>Thu</v>
      </c>
      <c r="D992" s="55"/>
      <c r="O992" s="49"/>
    </row>
    <row r="993" spans="1:15" hidden="1" x14ac:dyDescent="0.3">
      <c r="A993" s="49"/>
      <c r="B993" s="54">
        <v>46983</v>
      </c>
      <c r="C993" s="55" t="str">
        <f t="shared" si="14"/>
        <v>Fri</v>
      </c>
      <c r="D993" s="55"/>
      <c r="O993" s="49"/>
    </row>
    <row r="994" spans="1:15" hidden="1" x14ac:dyDescent="0.3">
      <c r="A994" s="49"/>
      <c r="B994" s="54">
        <v>46984</v>
      </c>
      <c r="C994" s="55" t="str">
        <f t="shared" ref="C994:C1057" si="15">TEXT(B994,"ddd")</f>
        <v>Sat</v>
      </c>
      <c r="D994" s="55"/>
      <c r="O994" s="49"/>
    </row>
    <row r="995" spans="1:15" hidden="1" x14ac:dyDescent="0.3">
      <c r="A995" s="49"/>
      <c r="B995" s="54">
        <v>46985</v>
      </c>
      <c r="C995" s="55" t="str">
        <f t="shared" si="15"/>
        <v>Sun</v>
      </c>
      <c r="D995" s="55"/>
      <c r="O995" s="49"/>
    </row>
    <row r="996" spans="1:15" hidden="1" x14ac:dyDescent="0.3">
      <c r="A996" s="49"/>
      <c r="B996" s="54">
        <v>46986</v>
      </c>
      <c r="C996" s="55" t="str">
        <f t="shared" si="15"/>
        <v>Mon</v>
      </c>
      <c r="D996" s="55"/>
      <c r="O996" s="49"/>
    </row>
    <row r="997" spans="1:15" hidden="1" x14ac:dyDescent="0.3">
      <c r="A997" s="49"/>
      <c r="B997" s="54">
        <v>46987</v>
      </c>
      <c r="C997" s="55" t="str">
        <f t="shared" si="15"/>
        <v>Tue</v>
      </c>
      <c r="D997" s="55"/>
      <c r="O997" s="49"/>
    </row>
    <row r="998" spans="1:15" hidden="1" x14ac:dyDescent="0.3">
      <c r="A998" s="49"/>
      <c r="B998" s="54">
        <v>46988</v>
      </c>
      <c r="C998" s="55" t="str">
        <f t="shared" si="15"/>
        <v>Wed</v>
      </c>
      <c r="D998" s="55"/>
      <c r="O998" s="49"/>
    </row>
    <row r="999" spans="1:15" hidden="1" x14ac:dyDescent="0.3">
      <c r="A999" s="49"/>
      <c r="B999" s="54">
        <v>46989</v>
      </c>
      <c r="C999" s="55" t="str">
        <f t="shared" si="15"/>
        <v>Thu</v>
      </c>
      <c r="D999" s="55"/>
      <c r="O999" s="49"/>
    </row>
    <row r="1000" spans="1:15" hidden="1" x14ac:dyDescent="0.3">
      <c r="A1000" s="49"/>
      <c r="B1000" s="54">
        <v>46990</v>
      </c>
      <c r="C1000" s="55" t="str">
        <f t="shared" si="15"/>
        <v>Fri</v>
      </c>
      <c r="D1000" s="55"/>
      <c r="O1000" s="49"/>
    </row>
    <row r="1001" spans="1:15" hidden="1" x14ac:dyDescent="0.3">
      <c r="A1001" s="49"/>
      <c r="B1001" s="54">
        <v>46991</v>
      </c>
      <c r="C1001" s="55" t="str">
        <f t="shared" si="15"/>
        <v>Sat</v>
      </c>
      <c r="D1001" s="55"/>
      <c r="O1001" s="49"/>
    </row>
    <row r="1002" spans="1:15" hidden="1" x14ac:dyDescent="0.3">
      <c r="A1002" s="49"/>
      <c r="B1002" s="54">
        <v>46992</v>
      </c>
      <c r="C1002" s="55" t="str">
        <f t="shared" si="15"/>
        <v>Sun</v>
      </c>
      <c r="D1002" s="55"/>
      <c r="O1002" s="49"/>
    </row>
    <row r="1003" spans="1:15" hidden="1" x14ac:dyDescent="0.3">
      <c r="A1003" s="49"/>
      <c r="B1003" s="54">
        <v>46993</v>
      </c>
      <c r="C1003" s="55" t="str">
        <f t="shared" si="15"/>
        <v>Mon</v>
      </c>
      <c r="D1003" s="55"/>
      <c r="O1003" s="49"/>
    </row>
    <row r="1004" spans="1:15" hidden="1" x14ac:dyDescent="0.3">
      <c r="A1004" s="49"/>
      <c r="B1004" s="54">
        <v>46994</v>
      </c>
      <c r="C1004" s="55" t="str">
        <f t="shared" si="15"/>
        <v>Tue</v>
      </c>
      <c r="D1004" s="55"/>
      <c r="O1004" s="49"/>
    </row>
    <row r="1005" spans="1:15" hidden="1" x14ac:dyDescent="0.3">
      <c r="A1005" s="49"/>
      <c r="B1005" s="54">
        <v>46995</v>
      </c>
      <c r="C1005" s="55" t="str">
        <f t="shared" si="15"/>
        <v>Wed</v>
      </c>
      <c r="D1005" s="55"/>
      <c r="O1005" s="49"/>
    </row>
    <row r="1006" spans="1:15" hidden="1" x14ac:dyDescent="0.3">
      <c r="A1006" s="49"/>
      <c r="B1006" s="54">
        <v>46996</v>
      </c>
      <c r="C1006" s="55" t="str">
        <f t="shared" si="15"/>
        <v>Thu</v>
      </c>
      <c r="D1006" s="55"/>
      <c r="O1006" s="49"/>
    </row>
    <row r="1007" spans="1:15" hidden="1" x14ac:dyDescent="0.3">
      <c r="A1007" s="49"/>
      <c r="B1007" s="54">
        <v>46997</v>
      </c>
      <c r="C1007" s="55" t="str">
        <f t="shared" si="15"/>
        <v>Fri</v>
      </c>
      <c r="D1007" s="55"/>
      <c r="O1007" s="49"/>
    </row>
    <row r="1008" spans="1:15" hidden="1" x14ac:dyDescent="0.3">
      <c r="A1008" s="49"/>
      <c r="B1008" s="54">
        <v>46998</v>
      </c>
      <c r="C1008" s="55" t="str">
        <f t="shared" si="15"/>
        <v>Sat</v>
      </c>
      <c r="D1008" s="55"/>
      <c r="O1008" s="49"/>
    </row>
    <row r="1009" spans="1:15" hidden="1" x14ac:dyDescent="0.3">
      <c r="A1009" s="49"/>
      <c r="B1009" s="54">
        <v>46999</v>
      </c>
      <c r="C1009" s="55" t="str">
        <f t="shared" si="15"/>
        <v>Sun</v>
      </c>
      <c r="D1009" s="55"/>
      <c r="O1009" s="49"/>
    </row>
    <row r="1010" spans="1:15" hidden="1" x14ac:dyDescent="0.3">
      <c r="A1010" s="49"/>
      <c r="B1010" s="54">
        <v>47000</v>
      </c>
      <c r="C1010" s="55" t="str">
        <f t="shared" si="15"/>
        <v>Mon</v>
      </c>
      <c r="D1010" s="55"/>
      <c r="O1010" s="49"/>
    </row>
    <row r="1011" spans="1:15" hidden="1" x14ac:dyDescent="0.3">
      <c r="A1011" s="49"/>
      <c r="B1011" s="54">
        <v>47001</v>
      </c>
      <c r="C1011" s="55" t="str">
        <f t="shared" si="15"/>
        <v>Tue</v>
      </c>
      <c r="D1011" s="55"/>
      <c r="O1011" s="49"/>
    </row>
    <row r="1012" spans="1:15" hidden="1" x14ac:dyDescent="0.3">
      <c r="A1012" s="49"/>
      <c r="B1012" s="54">
        <v>47002</v>
      </c>
      <c r="C1012" s="55" t="str">
        <f t="shared" si="15"/>
        <v>Wed</v>
      </c>
      <c r="D1012" s="55"/>
      <c r="O1012" s="49"/>
    </row>
    <row r="1013" spans="1:15" hidden="1" x14ac:dyDescent="0.3">
      <c r="A1013" s="49"/>
      <c r="B1013" s="54">
        <v>47003</v>
      </c>
      <c r="C1013" s="55" t="str">
        <f t="shared" si="15"/>
        <v>Thu</v>
      </c>
      <c r="D1013" s="55"/>
      <c r="O1013" s="49"/>
    </row>
    <row r="1014" spans="1:15" hidden="1" x14ac:dyDescent="0.3">
      <c r="A1014" s="49"/>
      <c r="B1014" s="54">
        <v>47004</v>
      </c>
      <c r="C1014" s="55" t="str">
        <f t="shared" si="15"/>
        <v>Fri</v>
      </c>
      <c r="D1014" s="55"/>
      <c r="O1014" s="49"/>
    </row>
    <row r="1015" spans="1:15" hidden="1" x14ac:dyDescent="0.3">
      <c r="A1015" s="49"/>
      <c r="B1015" s="54">
        <v>47005</v>
      </c>
      <c r="C1015" s="55" t="str">
        <f t="shared" si="15"/>
        <v>Sat</v>
      </c>
      <c r="D1015" s="55"/>
      <c r="O1015" s="49"/>
    </row>
    <row r="1016" spans="1:15" hidden="1" x14ac:dyDescent="0.3">
      <c r="A1016" s="49"/>
      <c r="B1016" s="54">
        <v>47006</v>
      </c>
      <c r="C1016" s="55" t="str">
        <f t="shared" si="15"/>
        <v>Sun</v>
      </c>
      <c r="D1016" s="55"/>
      <c r="O1016" s="49"/>
    </row>
    <row r="1017" spans="1:15" hidden="1" x14ac:dyDescent="0.3">
      <c r="A1017" s="49"/>
      <c r="B1017" s="54">
        <v>47007</v>
      </c>
      <c r="C1017" s="55" t="str">
        <f t="shared" si="15"/>
        <v>Mon</v>
      </c>
      <c r="D1017" s="55"/>
      <c r="O1017" s="49"/>
    </row>
    <row r="1018" spans="1:15" hidden="1" x14ac:dyDescent="0.3">
      <c r="A1018" s="49"/>
      <c r="B1018" s="54">
        <v>47008</v>
      </c>
      <c r="C1018" s="55" t="str">
        <f t="shared" si="15"/>
        <v>Tue</v>
      </c>
      <c r="D1018" s="55"/>
      <c r="O1018" s="49"/>
    </row>
    <row r="1019" spans="1:15" hidden="1" x14ac:dyDescent="0.3">
      <c r="A1019" s="49"/>
      <c r="B1019" s="54">
        <v>47009</v>
      </c>
      <c r="C1019" s="55" t="str">
        <f t="shared" si="15"/>
        <v>Wed</v>
      </c>
      <c r="D1019" s="55"/>
      <c r="O1019" s="49"/>
    </row>
    <row r="1020" spans="1:15" hidden="1" x14ac:dyDescent="0.3">
      <c r="A1020" s="49"/>
      <c r="B1020" s="54">
        <v>47010</v>
      </c>
      <c r="C1020" s="55" t="str">
        <f t="shared" si="15"/>
        <v>Thu</v>
      </c>
      <c r="D1020" s="55"/>
      <c r="O1020" s="49"/>
    </row>
    <row r="1021" spans="1:15" hidden="1" x14ac:dyDescent="0.3">
      <c r="A1021" s="49"/>
      <c r="B1021" s="54">
        <v>47011</v>
      </c>
      <c r="C1021" s="55" t="str">
        <f t="shared" si="15"/>
        <v>Fri</v>
      </c>
      <c r="D1021" s="55"/>
      <c r="O1021" s="49"/>
    </row>
    <row r="1022" spans="1:15" hidden="1" x14ac:dyDescent="0.3">
      <c r="A1022" s="49"/>
      <c r="B1022" s="54">
        <v>47012</v>
      </c>
      <c r="C1022" s="55" t="str">
        <f t="shared" si="15"/>
        <v>Sat</v>
      </c>
      <c r="D1022" s="55"/>
      <c r="O1022" s="49"/>
    </row>
    <row r="1023" spans="1:15" hidden="1" x14ac:dyDescent="0.3">
      <c r="A1023" s="49"/>
      <c r="B1023" s="54">
        <v>47013</v>
      </c>
      <c r="C1023" s="55" t="str">
        <f t="shared" si="15"/>
        <v>Sun</v>
      </c>
      <c r="D1023" s="55"/>
      <c r="O1023" s="49"/>
    </row>
    <row r="1024" spans="1:15" hidden="1" x14ac:dyDescent="0.3">
      <c r="A1024" s="49"/>
      <c r="B1024" s="54">
        <v>47014</v>
      </c>
      <c r="C1024" s="55" t="str">
        <f t="shared" si="15"/>
        <v>Mon</v>
      </c>
      <c r="D1024" s="55"/>
      <c r="O1024" s="49"/>
    </row>
    <row r="1025" spans="1:15" hidden="1" x14ac:dyDescent="0.3">
      <c r="A1025" s="49"/>
      <c r="B1025" s="54">
        <v>47015</v>
      </c>
      <c r="C1025" s="55" t="str">
        <f t="shared" si="15"/>
        <v>Tue</v>
      </c>
      <c r="D1025" s="55"/>
      <c r="O1025" s="49"/>
    </row>
    <row r="1026" spans="1:15" hidden="1" x14ac:dyDescent="0.3">
      <c r="A1026" s="49"/>
      <c r="B1026" s="54">
        <v>47016</v>
      </c>
      <c r="C1026" s="55" t="str">
        <f t="shared" si="15"/>
        <v>Wed</v>
      </c>
      <c r="D1026" s="55"/>
      <c r="O1026" s="49"/>
    </row>
    <row r="1027" spans="1:15" hidden="1" x14ac:dyDescent="0.3">
      <c r="A1027" s="49"/>
      <c r="B1027" s="54">
        <v>47017</v>
      </c>
      <c r="C1027" s="55" t="str">
        <f t="shared" si="15"/>
        <v>Thu</v>
      </c>
      <c r="D1027" s="55"/>
      <c r="O1027" s="49"/>
    </row>
    <row r="1028" spans="1:15" hidden="1" x14ac:dyDescent="0.3">
      <c r="A1028" s="49"/>
      <c r="B1028" s="54">
        <v>47018</v>
      </c>
      <c r="C1028" s="55" t="str">
        <f t="shared" si="15"/>
        <v>Fri</v>
      </c>
      <c r="D1028" s="55"/>
      <c r="O1028" s="49"/>
    </row>
    <row r="1029" spans="1:15" hidden="1" x14ac:dyDescent="0.3">
      <c r="A1029" s="49"/>
      <c r="B1029" s="54">
        <v>47019</v>
      </c>
      <c r="C1029" s="55" t="str">
        <f t="shared" si="15"/>
        <v>Sat</v>
      </c>
      <c r="D1029" s="55"/>
      <c r="O1029" s="49"/>
    </row>
    <row r="1030" spans="1:15" hidden="1" x14ac:dyDescent="0.3">
      <c r="A1030" s="49"/>
      <c r="B1030" s="54">
        <v>47020</v>
      </c>
      <c r="C1030" s="55" t="str">
        <f t="shared" si="15"/>
        <v>Sun</v>
      </c>
      <c r="D1030" s="55"/>
      <c r="O1030" s="49"/>
    </row>
    <row r="1031" spans="1:15" hidden="1" x14ac:dyDescent="0.3">
      <c r="A1031" s="49"/>
      <c r="B1031" s="54">
        <v>47021</v>
      </c>
      <c r="C1031" s="55" t="str">
        <f t="shared" si="15"/>
        <v>Mon</v>
      </c>
      <c r="D1031" s="55"/>
      <c r="O1031" s="49"/>
    </row>
    <row r="1032" spans="1:15" hidden="1" x14ac:dyDescent="0.3">
      <c r="A1032" s="49"/>
      <c r="B1032" s="54">
        <v>47022</v>
      </c>
      <c r="C1032" s="55" t="str">
        <f t="shared" si="15"/>
        <v>Tue</v>
      </c>
      <c r="D1032" s="55"/>
      <c r="O1032" s="49"/>
    </row>
    <row r="1033" spans="1:15" hidden="1" x14ac:dyDescent="0.3">
      <c r="A1033" s="49"/>
      <c r="B1033" s="54">
        <v>47023</v>
      </c>
      <c r="C1033" s="55" t="str">
        <f t="shared" si="15"/>
        <v>Wed</v>
      </c>
      <c r="D1033" s="55"/>
      <c r="O1033" s="49"/>
    </row>
    <row r="1034" spans="1:15" hidden="1" x14ac:dyDescent="0.3">
      <c r="A1034" s="49"/>
      <c r="B1034" s="54">
        <v>47024</v>
      </c>
      <c r="C1034" s="55" t="str">
        <f t="shared" si="15"/>
        <v>Thu</v>
      </c>
      <c r="D1034" s="55"/>
      <c r="O1034" s="49"/>
    </row>
    <row r="1035" spans="1:15" hidden="1" x14ac:dyDescent="0.3">
      <c r="A1035" s="49"/>
      <c r="B1035" s="54">
        <v>47025</v>
      </c>
      <c r="C1035" s="55" t="str">
        <f t="shared" si="15"/>
        <v>Fri</v>
      </c>
      <c r="D1035" s="55"/>
      <c r="O1035" s="49"/>
    </row>
    <row r="1036" spans="1:15" hidden="1" x14ac:dyDescent="0.3">
      <c r="A1036" s="49"/>
      <c r="B1036" s="54">
        <v>47026</v>
      </c>
      <c r="C1036" s="55" t="str">
        <f t="shared" si="15"/>
        <v>Sat</v>
      </c>
      <c r="D1036" s="55"/>
      <c r="O1036" s="49"/>
    </row>
    <row r="1037" spans="1:15" hidden="1" x14ac:dyDescent="0.3">
      <c r="A1037" s="49"/>
      <c r="B1037" s="54">
        <v>47027</v>
      </c>
      <c r="C1037" s="55" t="str">
        <f t="shared" si="15"/>
        <v>Sun</v>
      </c>
      <c r="D1037" s="55"/>
      <c r="O1037" s="49"/>
    </row>
    <row r="1038" spans="1:15" hidden="1" x14ac:dyDescent="0.3">
      <c r="A1038" s="49"/>
      <c r="B1038" s="54">
        <v>47028</v>
      </c>
      <c r="C1038" s="55" t="str">
        <f t="shared" si="15"/>
        <v>Mon</v>
      </c>
      <c r="D1038" s="55"/>
      <c r="O1038" s="49"/>
    </row>
    <row r="1039" spans="1:15" hidden="1" x14ac:dyDescent="0.3">
      <c r="A1039" s="49"/>
      <c r="B1039" s="54">
        <v>47029</v>
      </c>
      <c r="C1039" s="55" t="str">
        <f t="shared" si="15"/>
        <v>Tue</v>
      </c>
      <c r="D1039" s="55"/>
      <c r="O1039" s="49"/>
    </row>
    <row r="1040" spans="1:15" hidden="1" x14ac:dyDescent="0.3">
      <c r="A1040" s="49"/>
      <c r="B1040" s="54">
        <v>47030</v>
      </c>
      <c r="C1040" s="55" t="str">
        <f t="shared" si="15"/>
        <v>Wed</v>
      </c>
      <c r="D1040" s="55"/>
      <c r="O1040" s="49"/>
    </row>
    <row r="1041" spans="1:15" hidden="1" x14ac:dyDescent="0.3">
      <c r="A1041" s="49"/>
      <c r="B1041" s="54">
        <v>47031</v>
      </c>
      <c r="C1041" s="55" t="str">
        <f t="shared" si="15"/>
        <v>Thu</v>
      </c>
      <c r="D1041" s="55"/>
      <c r="O1041" s="49"/>
    </row>
    <row r="1042" spans="1:15" hidden="1" x14ac:dyDescent="0.3">
      <c r="A1042" s="49"/>
      <c r="B1042" s="54">
        <v>47032</v>
      </c>
      <c r="C1042" s="55" t="str">
        <f t="shared" si="15"/>
        <v>Fri</v>
      </c>
      <c r="D1042" s="55"/>
      <c r="O1042" s="49"/>
    </row>
    <row r="1043" spans="1:15" hidden="1" x14ac:dyDescent="0.3">
      <c r="A1043" s="49"/>
      <c r="B1043" s="54">
        <v>47033</v>
      </c>
      <c r="C1043" s="55" t="str">
        <f t="shared" si="15"/>
        <v>Sat</v>
      </c>
      <c r="D1043" s="55"/>
      <c r="O1043" s="49"/>
    </row>
    <row r="1044" spans="1:15" hidden="1" x14ac:dyDescent="0.3">
      <c r="A1044" s="49"/>
      <c r="B1044" s="54">
        <v>47034</v>
      </c>
      <c r="C1044" s="55" t="str">
        <f t="shared" si="15"/>
        <v>Sun</v>
      </c>
      <c r="D1044" s="55"/>
      <c r="O1044" s="49"/>
    </row>
    <row r="1045" spans="1:15" hidden="1" x14ac:dyDescent="0.3">
      <c r="A1045" s="49"/>
      <c r="B1045" s="54">
        <v>47035</v>
      </c>
      <c r="C1045" s="55" t="str">
        <f t="shared" si="15"/>
        <v>Mon</v>
      </c>
      <c r="D1045" s="55"/>
      <c r="O1045" s="49"/>
    </row>
    <row r="1046" spans="1:15" hidden="1" x14ac:dyDescent="0.3">
      <c r="A1046" s="49"/>
      <c r="B1046" s="54">
        <v>47036</v>
      </c>
      <c r="C1046" s="55" t="str">
        <f t="shared" si="15"/>
        <v>Tue</v>
      </c>
      <c r="D1046" s="55"/>
      <c r="O1046" s="49"/>
    </row>
    <row r="1047" spans="1:15" hidden="1" x14ac:dyDescent="0.3">
      <c r="A1047" s="49"/>
      <c r="B1047" s="54">
        <v>47037</v>
      </c>
      <c r="C1047" s="55" t="str">
        <f t="shared" si="15"/>
        <v>Wed</v>
      </c>
      <c r="D1047" s="55"/>
      <c r="O1047" s="49"/>
    </row>
    <row r="1048" spans="1:15" hidden="1" x14ac:dyDescent="0.3">
      <c r="A1048" s="49"/>
      <c r="B1048" s="54">
        <v>47038</v>
      </c>
      <c r="C1048" s="55" t="str">
        <f t="shared" si="15"/>
        <v>Thu</v>
      </c>
      <c r="D1048" s="55"/>
      <c r="O1048" s="49"/>
    </row>
    <row r="1049" spans="1:15" hidden="1" x14ac:dyDescent="0.3">
      <c r="A1049" s="49"/>
      <c r="B1049" s="54">
        <v>47039</v>
      </c>
      <c r="C1049" s="55" t="str">
        <f t="shared" si="15"/>
        <v>Fri</v>
      </c>
      <c r="D1049" s="55"/>
      <c r="O1049" s="49"/>
    </row>
    <row r="1050" spans="1:15" hidden="1" x14ac:dyDescent="0.3">
      <c r="A1050" s="49"/>
      <c r="B1050" s="54">
        <v>47040</v>
      </c>
      <c r="C1050" s="55" t="str">
        <f t="shared" si="15"/>
        <v>Sat</v>
      </c>
      <c r="D1050" s="55"/>
      <c r="O1050" s="49"/>
    </row>
    <row r="1051" spans="1:15" hidden="1" x14ac:dyDescent="0.3">
      <c r="A1051" s="49"/>
      <c r="B1051" s="54">
        <v>47041</v>
      </c>
      <c r="C1051" s="55" t="str">
        <f t="shared" si="15"/>
        <v>Sun</v>
      </c>
      <c r="D1051" s="55"/>
      <c r="O1051" s="49"/>
    </row>
    <row r="1052" spans="1:15" hidden="1" x14ac:dyDescent="0.3">
      <c r="A1052" s="49"/>
      <c r="B1052" s="54">
        <v>47042</v>
      </c>
      <c r="C1052" s="55" t="str">
        <f t="shared" si="15"/>
        <v>Mon</v>
      </c>
      <c r="D1052" s="55"/>
      <c r="O1052" s="49"/>
    </row>
    <row r="1053" spans="1:15" hidden="1" x14ac:dyDescent="0.3">
      <c r="A1053" s="49"/>
      <c r="B1053" s="54">
        <v>47043</v>
      </c>
      <c r="C1053" s="55" t="str">
        <f t="shared" si="15"/>
        <v>Tue</v>
      </c>
      <c r="D1053" s="55"/>
      <c r="O1053" s="49"/>
    </row>
    <row r="1054" spans="1:15" hidden="1" x14ac:dyDescent="0.3">
      <c r="A1054" s="49"/>
      <c r="B1054" s="54">
        <v>47044</v>
      </c>
      <c r="C1054" s="55" t="str">
        <f t="shared" si="15"/>
        <v>Wed</v>
      </c>
      <c r="D1054" s="55"/>
      <c r="O1054" s="49"/>
    </row>
    <row r="1055" spans="1:15" hidden="1" x14ac:dyDescent="0.3">
      <c r="A1055" s="49"/>
      <c r="B1055" s="54">
        <v>47045</v>
      </c>
      <c r="C1055" s="55" t="str">
        <f t="shared" si="15"/>
        <v>Thu</v>
      </c>
      <c r="D1055" s="55"/>
      <c r="O1055" s="49"/>
    </row>
    <row r="1056" spans="1:15" hidden="1" x14ac:dyDescent="0.3">
      <c r="A1056" s="49"/>
      <c r="B1056" s="54">
        <v>47046</v>
      </c>
      <c r="C1056" s="55" t="str">
        <f t="shared" si="15"/>
        <v>Fri</v>
      </c>
      <c r="D1056" s="55"/>
      <c r="O1056" s="49"/>
    </row>
    <row r="1057" spans="1:15" hidden="1" x14ac:dyDescent="0.3">
      <c r="A1057" s="49"/>
      <c r="B1057" s="54">
        <v>47047</v>
      </c>
      <c r="C1057" s="55" t="str">
        <f t="shared" si="15"/>
        <v>Sat</v>
      </c>
      <c r="D1057" s="55"/>
      <c r="O1057" s="49"/>
    </row>
    <row r="1058" spans="1:15" hidden="1" x14ac:dyDescent="0.3">
      <c r="A1058" s="49"/>
      <c r="B1058" s="54">
        <v>47048</v>
      </c>
      <c r="C1058" s="55" t="str">
        <f t="shared" ref="C1058:C1121" si="16">TEXT(B1058,"ddd")</f>
        <v>Sun</v>
      </c>
      <c r="D1058" s="55"/>
      <c r="O1058" s="49"/>
    </row>
    <row r="1059" spans="1:15" hidden="1" x14ac:dyDescent="0.3">
      <c r="A1059" s="49"/>
      <c r="B1059" s="54">
        <v>47049</v>
      </c>
      <c r="C1059" s="55" t="str">
        <f t="shared" si="16"/>
        <v>Mon</v>
      </c>
      <c r="D1059" s="55"/>
      <c r="O1059" s="49"/>
    </row>
    <row r="1060" spans="1:15" hidden="1" x14ac:dyDescent="0.3">
      <c r="A1060" s="49"/>
      <c r="B1060" s="54">
        <v>47050</v>
      </c>
      <c r="C1060" s="55" t="str">
        <f t="shared" si="16"/>
        <v>Tue</v>
      </c>
      <c r="D1060" s="55"/>
      <c r="O1060" s="49"/>
    </row>
    <row r="1061" spans="1:15" hidden="1" x14ac:dyDescent="0.3">
      <c r="A1061" s="49"/>
      <c r="B1061" s="54">
        <v>47051</v>
      </c>
      <c r="C1061" s="55" t="str">
        <f t="shared" si="16"/>
        <v>Wed</v>
      </c>
      <c r="D1061" s="55"/>
      <c r="O1061" s="49"/>
    </row>
    <row r="1062" spans="1:15" hidden="1" x14ac:dyDescent="0.3">
      <c r="A1062" s="49"/>
      <c r="B1062" s="54">
        <v>47052</v>
      </c>
      <c r="C1062" s="55" t="str">
        <f t="shared" si="16"/>
        <v>Thu</v>
      </c>
      <c r="D1062" s="55"/>
      <c r="O1062" s="49"/>
    </row>
    <row r="1063" spans="1:15" hidden="1" x14ac:dyDescent="0.3">
      <c r="A1063" s="49"/>
      <c r="B1063" s="54">
        <v>47053</v>
      </c>
      <c r="C1063" s="55" t="str">
        <f t="shared" si="16"/>
        <v>Fri</v>
      </c>
      <c r="D1063" s="55"/>
      <c r="O1063" s="49"/>
    </row>
    <row r="1064" spans="1:15" hidden="1" x14ac:dyDescent="0.3">
      <c r="A1064" s="49"/>
      <c r="B1064" s="54">
        <v>47054</v>
      </c>
      <c r="C1064" s="55" t="str">
        <f t="shared" si="16"/>
        <v>Sat</v>
      </c>
      <c r="D1064" s="55"/>
      <c r="O1064" s="49"/>
    </row>
    <row r="1065" spans="1:15" hidden="1" x14ac:dyDescent="0.3">
      <c r="A1065" s="49"/>
      <c r="B1065" s="54">
        <v>47055</v>
      </c>
      <c r="C1065" s="55" t="str">
        <f t="shared" si="16"/>
        <v>Sun</v>
      </c>
      <c r="D1065" s="55"/>
      <c r="O1065" s="49"/>
    </row>
    <row r="1066" spans="1:15" hidden="1" x14ac:dyDescent="0.3">
      <c r="A1066" s="49"/>
      <c r="B1066" s="54">
        <v>47056</v>
      </c>
      <c r="C1066" s="55" t="str">
        <f t="shared" si="16"/>
        <v>Mon</v>
      </c>
      <c r="D1066" s="55"/>
      <c r="O1066" s="49"/>
    </row>
    <row r="1067" spans="1:15" hidden="1" x14ac:dyDescent="0.3">
      <c r="A1067" s="49"/>
      <c r="B1067" s="54">
        <v>47057</v>
      </c>
      <c r="C1067" s="55" t="str">
        <f t="shared" si="16"/>
        <v>Tue</v>
      </c>
      <c r="D1067" s="55"/>
      <c r="O1067" s="49"/>
    </row>
    <row r="1068" spans="1:15" hidden="1" x14ac:dyDescent="0.3">
      <c r="A1068" s="49"/>
      <c r="B1068" s="54">
        <v>47058</v>
      </c>
      <c r="C1068" s="55" t="str">
        <f t="shared" si="16"/>
        <v>Wed</v>
      </c>
      <c r="D1068" s="55"/>
      <c r="O1068" s="49"/>
    </row>
    <row r="1069" spans="1:15" hidden="1" x14ac:dyDescent="0.3">
      <c r="A1069" s="49"/>
      <c r="B1069" s="54">
        <v>47059</v>
      </c>
      <c r="C1069" s="55" t="str">
        <f t="shared" si="16"/>
        <v>Thu</v>
      </c>
      <c r="D1069" s="55"/>
      <c r="O1069" s="49"/>
    </row>
    <row r="1070" spans="1:15" hidden="1" x14ac:dyDescent="0.3">
      <c r="A1070" s="49"/>
      <c r="B1070" s="54">
        <v>47060</v>
      </c>
      <c r="C1070" s="55" t="str">
        <f t="shared" si="16"/>
        <v>Fri</v>
      </c>
      <c r="D1070" s="55"/>
      <c r="O1070" s="49"/>
    </row>
    <row r="1071" spans="1:15" hidden="1" x14ac:dyDescent="0.3">
      <c r="A1071" s="49"/>
      <c r="B1071" s="54">
        <v>47061</v>
      </c>
      <c r="C1071" s="55" t="str">
        <f t="shared" si="16"/>
        <v>Sat</v>
      </c>
      <c r="D1071" s="55"/>
      <c r="O1071" s="49"/>
    </row>
    <row r="1072" spans="1:15" hidden="1" x14ac:dyDescent="0.3">
      <c r="A1072" s="49"/>
      <c r="B1072" s="54">
        <v>47062</v>
      </c>
      <c r="C1072" s="55" t="str">
        <f t="shared" si="16"/>
        <v>Sun</v>
      </c>
      <c r="D1072" s="55"/>
      <c r="O1072" s="49"/>
    </row>
    <row r="1073" spans="1:15" hidden="1" x14ac:dyDescent="0.3">
      <c r="A1073" s="49"/>
      <c r="B1073" s="54">
        <v>47063</v>
      </c>
      <c r="C1073" s="55" t="str">
        <f t="shared" si="16"/>
        <v>Mon</v>
      </c>
      <c r="D1073" s="55"/>
      <c r="O1073" s="49"/>
    </row>
    <row r="1074" spans="1:15" hidden="1" x14ac:dyDescent="0.3">
      <c r="A1074" s="49"/>
      <c r="B1074" s="54">
        <v>47064</v>
      </c>
      <c r="C1074" s="55" t="str">
        <f t="shared" si="16"/>
        <v>Tue</v>
      </c>
      <c r="D1074" s="55"/>
      <c r="O1074" s="49"/>
    </row>
    <row r="1075" spans="1:15" hidden="1" x14ac:dyDescent="0.3">
      <c r="A1075" s="49"/>
      <c r="B1075" s="54">
        <v>47065</v>
      </c>
      <c r="C1075" s="55" t="str">
        <f t="shared" si="16"/>
        <v>Wed</v>
      </c>
      <c r="D1075" s="55"/>
      <c r="O1075" s="49"/>
    </row>
    <row r="1076" spans="1:15" hidden="1" x14ac:dyDescent="0.3">
      <c r="A1076" s="49"/>
      <c r="B1076" s="54">
        <v>47066</v>
      </c>
      <c r="C1076" s="55" t="str">
        <f t="shared" si="16"/>
        <v>Thu</v>
      </c>
      <c r="D1076" s="55"/>
      <c r="O1076" s="49"/>
    </row>
    <row r="1077" spans="1:15" hidden="1" x14ac:dyDescent="0.3">
      <c r="A1077" s="49"/>
      <c r="B1077" s="54">
        <v>47067</v>
      </c>
      <c r="C1077" s="55" t="str">
        <f t="shared" si="16"/>
        <v>Fri</v>
      </c>
      <c r="D1077" s="55"/>
      <c r="O1077" s="49"/>
    </row>
    <row r="1078" spans="1:15" hidden="1" x14ac:dyDescent="0.3">
      <c r="A1078" s="49"/>
      <c r="B1078" s="54">
        <v>47068</v>
      </c>
      <c r="C1078" s="55" t="str">
        <f t="shared" si="16"/>
        <v>Sat</v>
      </c>
      <c r="D1078" s="55"/>
      <c r="O1078" s="49"/>
    </row>
    <row r="1079" spans="1:15" hidden="1" x14ac:dyDescent="0.3">
      <c r="A1079" s="49"/>
      <c r="B1079" s="54">
        <v>47069</v>
      </c>
      <c r="C1079" s="55" t="str">
        <f t="shared" si="16"/>
        <v>Sun</v>
      </c>
      <c r="D1079" s="55"/>
      <c r="O1079" s="49"/>
    </row>
    <row r="1080" spans="1:15" hidden="1" x14ac:dyDescent="0.3">
      <c r="A1080" s="49"/>
      <c r="B1080" s="54">
        <v>47070</v>
      </c>
      <c r="C1080" s="55" t="str">
        <f t="shared" si="16"/>
        <v>Mon</v>
      </c>
      <c r="D1080" s="55"/>
      <c r="O1080" s="49"/>
    </row>
    <row r="1081" spans="1:15" hidden="1" x14ac:dyDescent="0.3">
      <c r="A1081" s="49"/>
      <c r="B1081" s="54">
        <v>47071</v>
      </c>
      <c r="C1081" s="55" t="str">
        <f t="shared" si="16"/>
        <v>Tue</v>
      </c>
      <c r="D1081" s="55"/>
      <c r="O1081" s="49"/>
    </row>
    <row r="1082" spans="1:15" hidden="1" x14ac:dyDescent="0.3">
      <c r="A1082" s="49"/>
      <c r="B1082" s="54">
        <v>47072</v>
      </c>
      <c r="C1082" s="55" t="str">
        <f t="shared" si="16"/>
        <v>Wed</v>
      </c>
      <c r="D1082" s="55"/>
      <c r="O1082" s="49"/>
    </row>
    <row r="1083" spans="1:15" hidden="1" x14ac:dyDescent="0.3">
      <c r="A1083" s="49"/>
      <c r="B1083" s="54">
        <v>47073</v>
      </c>
      <c r="C1083" s="55" t="str">
        <f t="shared" si="16"/>
        <v>Thu</v>
      </c>
      <c r="D1083" s="55"/>
      <c r="O1083" s="49"/>
    </row>
    <row r="1084" spans="1:15" hidden="1" x14ac:dyDescent="0.3">
      <c r="A1084" s="49"/>
      <c r="B1084" s="54">
        <v>47074</v>
      </c>
      <c r="C1084" s="55" t="str">
        <f t="shared" si="16"/>
        <v>Fri</v>
      </c>
      <c r="D1084" s="55"/>
      <c r="O1084" s="49"/>
    </row>
    <row r="1085" spans="1:15" hidden="1" x14ac:dyDescent="0.3">
      <c r="A1085" s="49"/>
      <c r="B1085" s="54">
        <v>47075</v>
      </c>
      <c r="C1085" s="55" t="str">
        <f t="shared" si="16"/>
        <v>Sat</v>
      </c>
      <c r="D1085" s="55"/>
      <c r="O1085" s="49"/>
    </row>
    <row r="1086" spans="1:15" hidden="1" x14ac:dyDescent="0.3">
      <c r="A1086" s="49"/>
      <c r="B1086" s="54">
        <v>47076</v>
      </c>
      <c r="C1086" s="55" t="str">
        <f t="shared" si="16"/>
        <v>Sun</v>
      </c>
      <c r="D1086" s="55"/>
      <c r="O1086" s="49"/>
    </row>
    <row r="1087" spans="1:15" hidden="1" x14ac:dyDescent="0.3">
      <c r="A1087" s="49"/>
      <c r="B1087" s="54">
        <v>47077</v>
      </c>
      <c r="C1087" s="55" t="str">
        <f t="shared" si="16"/>
        <v>Mon</v>
      </c>
      <c r="D1087" s="55"/>
      <c r="O1087" s="49"/>
    </row>
    <row r="1088" spans="1:15" hidden="1" x14ac:dyDescent="0.3">
      <c r="A1088" s="49"/>
      <c r="B1088" s="54">
        <v>47078</v>
      </c>
      <c r="C1088" s="55" t="str">
        <f t="shared" si="16"/>
        <v>Tue</v>
      </c>
      <c r="D1088" s="55"/>
      <c r="O1088" s="49"/>
    </row>
    <row r="1089" spans="1:15" hidden="1" x14ac:dyDescent="0.3">
      <c r="A1089" s="49"/>
      <c r="B1089" s="54">
        <v>47079</v>
      </c>
      <c r="C1089" s="55" t="str">
        <f t="shared" si="16"/>
        <v>Wed</v>
      </c>
      <c r="D1089" s="55"/>
      <c r="O1089" s="49"/>
    </row>
    <row r="1090" spans="1:15" hidden="1" x14ac:dyDescent="0.3">
      <c r="A1090" s="49"/>
      <c r="B1090" s="54">
        <v>47080</v>
      </c>
      <c r="C1090" s="55" t="str">
        <f t="shared" si="16"/>
        <v>Thu</v>
      </c>
      <c r="D1090" s="55"/>
      <c r="O1090" s="49"/>
    </row>
    <row r="1091" spans="1:15" hidden="1" x14ac:dyDescent="0.3">
      <c r="A1091" s="49"/>
      <c r="B1091" s="54">
        <v>47081</v>
      </c>
      <c r="C1091" s="55" t="str">
        <f t="shared" si="16"/>
        <v>Fri</v>
      </c>
      <c r="D1091" s="55"/>
      <c r="O1091" s="49"/>
    </row>
    <row r="1092" spans="1:15" hidden="1" x14ac:dyDescent="0.3">
      <c r="A1092" s="49"/>
      <c r="B1092" s="54">
        <v>47082</v>
      </c>
      <c r="C1092" s="55" t="str">
        <f t="shared" si="16"/>
        <v>Sat</v>
      </c>
      <c r="D1092" s="55"/>
      <c r="O1092" s="49"/>
    </row>
    <row r="1093" spans="1:15" hidden="1" x14ac:dyDescent="0.3">
      <c r="A1093" s="49"/>
      <c r="B1093" s="54">
        <v>47083</v>
      </c>
      <c r="C1093" s="55" t="str">
        <f t="shared" si="16"/>
        <v>Sun</v>
      </c>
      <c r="D1093" s="55"/>
      <c r="O1093" s="49"/>
    </row>
    <row r="1094" spans="1:15" hidden="1" x14ac:dyDescent="0.3">
      <c r="A1094" s="49"/>
      <c r="B1094" s="54">
        <v>47084</v>
      </c>
      <c r="C1094" s="55" t="str">
        <f t="shared" si="16"/>
        <v>Mon</v>
      </c>
      <c r="D1094" s="55"/>
      <c r="O1094" s="49"/>
    </row>
    <row r="1095" spans="1:15" hidden="1" x14ac:dyDescent="0.3">
      <c r="A1095" s="49"/>
      <c r="B1095" s="54">
        <v>47085</v>
      </c>
      <c r="C1095" s="55" t="str">
        <f t="shared" si="16"/>
        <v>Tue</v>
      </c>
      <c r="D1095" s="55"/>
      <c r="O1095" s="49"/>
    </row>
    <row r="1096" spans="1:15" hidden="1" x14ac:dyDescent="0.3">
      <c r="A1096" s="49"/>
      <c r="B1096" s="54">
        <v>47086</v>
      </c>
      <c r="C1096" s="55" t="str">
        <f t="shared" si="16"/>
        <v>Wed</v>
      </c>
      <c r="D1096" s="55"/>
      <c r="O1096" s="49"/>
    </row>
    <row r="1097" spans="1:15" hidden="1" x14ac:dyDescent="0.3">
      <c r="A1097" s="49"/>
      <c r="B1097" s="54">
        <v>47087</v>
      </c>
      <c r="C1097" s="55" t="str">
        <f t="shared" si="16"/>
        <v>Thu</v>
      </c>
      <c r="D1097" s="55"/>
      <c r="O1097" s="49"/>
    </row>
    <row r="1098" spans="1:15" hidden="1" x14ac:dyDescent="0.3">
      <c r="A1098" s="49"/>
      <c r="B1098" s="54">
        <v>47088</v>
      </c>
      <c r="C1098" s="55" t="str">
        <f t="shared" si="16"/>
        <v>Fri</v>
      </c>
      <c r="D1098" s="55"/>
      <c r="O1098" s="49"/>
    </row>
    <row r="1099" spans="1:15" hidden="1" x14ac:dyDescent="0.3">
      <c r="A1099" s="49"/>
      <c r="B1099" s="54">
        <v>47089</v>
      </c>
      <c r="C1099" s="55" t="str">
        <f t="shared" si="16"/>
        <v>Sat</v>
      </c>
      <c r="D1099" s="55"/>
      <c r="O1099" s="49"/>
    </row>
    <row r="1100" spans="1:15" hidden="1" x14ac:dyDescent="0.3">
      <c r="A1100" s="49"/>
      <c r="B1100" s="54">
        <v>47090</v>
      </c>
      <c r="C1100" s="55" t="str">
        <f t="shared" si="16"/>
        <v>Sun</v>
      </c>
      <c r="D1100" s="55"/>
      <c r="O1100" s="49"/>
    </row>
    <row r="1101" spans="1:15" hidden="1" x14ac:dyDescent="0.3">
      <c r="A1101" s="49"/>
      <c r="B1101" s="54">
        <v>47091</v>
      </c>
      <c r="C1101" s="55" t="str">
        <f t="shared" si="16"/>
        <v>Mon</v>
      </c>
      <c r="D1101" s="55"/>
      <c r="O1101" s="49"/>
    </row>
    <row r="1102" spans="1:15" hidden="1" x14ac:dyDescent="0.3">
      <c r="A1102" s="49"/>
      <c r="B1102" s="54">
        <v>47092</v>
      </c>
      <c r="C1102" s="55" t="str">
        <f t="shared" si="16"/>
        <v>Tue</v>
      </c>
      <c r="D1102" s="55"/>
      <c r="O1102" s="49"/>
    </row>
    <row r="1103" spans="1:15" hidden="1" x14ac:dyDescent="0.3">
      <c r="A1103" s="49"/>
      <c r="B1103" s="54">
        <v>47093</v>
      </c>
      <c r="C1103" s="55" t="str">
        <f t="shared" si="16"/>
        <v>Wed</v>
      </c>
      <c r="D1103" s="55"/>
      <c r="O1103" s="49"/>
    </row>
    <row r="1104" spans="1:15" hidden="1" x14ac:dyDescent="0.3">
      <c r="A1104" s="49"/>
      <c r="B1104" s="54">
        <v>47094</v>
      </c>
      <c r="C1104" s="55" t="str">
        <f t="shared" si="16"/>
        <v>Thu</v>
      </c>
      <c r="D1104" s="55"/>
      <c r="O1104" s="49"/>
    </row>
    <row r="1105" spans="1:15" hidden="1" x14ac:dyDescent="0.3">
      <c r="A1105" s="49"/>
      <c r="B1105" s="54">
        <v>47095</v>
      </c>
      <c r="C1105" s="55" t="str">
        <f t="shared" si="16"/>
        <v>Fri</v>
      </c>
      <c r="D1105" s="55"/>
      <c r="O1105" s="49"/>
    </row>
    <row r="1106" spans="1:15" hidden="1" x14ac:dyDescent="0.3">
      <c r="A1106" s="49"/>
      <c r="B1106" s="54">
        <v>47096</v>
      </c>
      <c r="C1106" s="55" t="str">
        <f t="shared" si="16"/>
        <v>Sat</v>
      </c>
      <c r="D1106" s="55"/>
      <c r="O1106" s="49"/>
    </row>
    <row r="1107" spans="1:15" hidden="1" x14ac:dyDescent="0.3">
      <c r="A1107" s="49"/>
      <c r="B1107" s="54">
        <v>47097</v>
      </c>
      <c r="C1107" s="55" t="str">
        <f t="shared" si="16"/>
        <v>Sun</v>
      </c>
      <c r="D1107" s="55"/>
      <c r="O1107" s="49"/>
    </row>
    <row r="1108" spans="1:15" hidden="1" x14ac:dyDescent="0.3">
      <c r="A1108" s="49"/>
      <c r="B1108" s="54">
        <v>47098</v>
      </c>
      <c r="C1108" s="55" t="str">
        <f t="shared" si="16"/>
        <v>Mon</v>
      </c>
      <c r="D1108" s="55"/>
      <c r="O1108" s="49"/>
    </row>
    <row r="1109" spans="1:15" hidden="1" x14ac:dyDescent="0.3">
      <c r="A1109" s="49"/>
      <c r="B1109" s="54">
        <v>47099</v>
      </c>
      <c r="C1109" s="55" t="str">
        <f t="shared" si="16"/>
        <v>Tue</v>
      </c>
      <c r="D1109" s="55"/>
      <c r="O1109" s="49"/>
    </row>
    <row r="1110" spans="1:15" hidden="1" x14ac:dyDescent="0.3">
      <c r="A1110" s="49"/>
      <c r="B1110" s="54">
        <v>47100</v>
      </c>
      <c r="C1110" s="55" t="str">
        <f t="shared" si="16"/>
        <v>Wed</v>
      </c>
      <c r="D1110" s="55"/>
      <c r="O1110" s="49"/>
    </row>
    <row r="1111" spans="1:15" hidden="1" x14ac:dyDescent="0.3">
      <c r="A1111" s="49"/>
      <c r="B1111" s="54">
        <v>47101</v>
      </c>
      <c r="C1111" s="55" t="str">
        <f t="shared" si="16"/>
        <v>Thu</v>
      </c>
      <c r="D1111" s="55"/>
      <c r="O1111" s="49"/>
    </row>
    <row r="1112" spans="1:15" hidden="1" x14ac:dyDescent="0.3">
      <c r="A1112" s="49"/>
      <c r="B1112" s="54">
        <v>47102</v>
      </c>
      <c r="C1112" s="55" t="str">
        <f t="shared" si="16"/>
        <v>Fri</v>
      </c>
      <c r="D1112" s="55"/>
      <c r="O1112" s="49"/>
    </row>
    <row r="1113" spans="1:15" hidden="1" x14ac:dyDescent="0.3">
      <c r="A1113" s="49"/>
      <c r="B1113" s="54">
        <v>47103</v>
      </c>
      <c r="C1113" s="55" t="str">
        <f t="shared" si="16"/>
        <v>Sat</v>
      </c>
      <c r="D1113" s="55"/>
      <c r="O1113" s="49"/>
    </row>
    <row r="1114" spans="1:15" hidden="1" x14ac:dyDescent="0.3">
      <c r="A1114" s="49"/>
      <c r="B1114" s="54">
        <v>47104</v>
      </c>
      <c r="C1114" s="55" t="str">
        <f t="shared" si="16"/>
        <v>Sun</v>
      </c>
      <c r="D1114" s="55"/>
      <c r="O1114" s="49"/>
    </row>
    <row r="1115" spans="1:15" hidden="1" x14ac:dyDescent="0.3">
      <c r="A1115" s="49"/>
      <c r="B1115" s="54">
        <v>47105</v>
      </c>
      <c r="C1115" s="55" t="str">
        <f t="shared" si="16"/>
        <v>Mon</v>
      </c>
      <c r="D1115" s="55"/>
      <c r="O1115" s="49"/>
    </row>
    <row r="1116" spans="1:15" hidden="1" x14ac:dyDescent="0.3">
      <c r="A1116" s="49"/>
      <c r="B1116" s="54">
        <v>47106</v>
      </c>
      <c r="C1116" s="55" t="str">
        <f t="shared" si="16"/>
        <v>Tue</v>
      </c>
      <c r="D1116" s="55"/>
      <c r="O1116" s="49"/>
    </row>
    <row r="1117" spans="1:15" hidden="1" x14ac:dyDescent="0.3">
      <c r="A1117" s="49"/>
      <c r="B1117" s="54">
        <v>47107</v>
      </c>
      <c r="C1117" s="55" t="str">
        <f t="shared" si="16"/>
        <v>Wed</v>
      </c>
      <c r="D1117" s="55"/>
      <c r="O1117" s="49"/>
    </row>
    <row r="1118" spans="1:15" hidden="1" x14ac:dyDescent="0.3">
      <c r="A1118" s="49"/>
      <c r="B1118" s="54">
        <v>47108</v>
      </c>
      <c r="C1118" s="55" t="str">
        <f t="shared" si="16"/>
        <v>Thu</v>
      </c>
      <c r="D1118" s="55"/>
      <c r="O1118" s="49"/>
    </row>
    <row r="1119" spans="1:15" hidden="1" x14ac:dyDescent="0.3">
      <c r="A1119" s="49"/>
      <c r="B1119" s="54">
        <v>47109</v>
      </c>
      <c r="C1119" s="55" t="str">
        <f t="shared" si="16"/>
        <v>Fri</v>
      </c>
      <c r="D1119" s="55"/>
      <c r="O1119" s="49"/>
    </row>
    <row r="1120" spans="1:15" hidden="1" x14ac:dyDescent="0.3">
      <c r="A1120" s="49"/>
      <c r="B1120" s="54">
        <v>47110</v>
      </c>
      <c r="C1120" s="55" t="str">
        <f t="shared" si="16"/>
        <v>Sat</v>
      </c>
      <c r="D1120" s="55"/>
      <c r="O1120" s="49"/>
    </row>
    <row r="1121" spans="1:15" hidden="1" x14ac:dyDescent="0.3">
      <c r="A1121" s="49"/>
      <c r="B1121" s="54">
        <v>47111</v>
      </c>
      <c r="C1121" s="55" t="str">
        <f t="shared" si="16"/>
        <v>Sun</v>
      </c>
      <c r="D1121" s="55"/>
      <c r="O1121" s="49"/>
    </row>
    <row r="1122" spans="1:15" hidden="1" x14ac:dyDescent="0.3">
      <c r="A1122" s="49"/>
      <c r="B1122" s="54">
        <v>47112</v>
      </c>
      <c r="C1122" s="55" t="str">
        <f t="shared" ref="C1122:C1185" si="17">TEXT(B1122,"ddd")</f>
        <v>Mon</v>
      </c>
      <c r="D1122" s="55"/>
      <c r="O1122" s="49"/>
    </row>
    <row r="1123" spans="1:15" hidden="1" x14ac:dyDescent="0.3">
      <c r="A1123" s="49"/>
      <c r="B1123" s="54">
        <v>47113</v>
      </c>
      <c r="C1123" s="55" t="str">
        <f t="shared" si="17"/>
        <v>Tue</v>
      </c>
      <c r="D1123" s="55"/>
      <c r="O1123" s="49"/>
    </row>
    <row r="1124" spans="1:15" hidden="1" x14ac:dyDescent="0.3">
      <c r="A1124" s="49"/>
      <c r="B1124" s="54">
        <v>47114</v>
      </c>
      <c r="C1124" s="55" t="str">
        <f t="shared" si="17"/>
        <v>Wed</v>
      </c>
      <c r="D1124" s="55"/>
      <c r="O1124" s="49"/>
    </row>
    <row r="1125" spans="1:15" hidden="1" x14ac:dyDescent="0.3">
      <c r="A1125" s="49"/>
      <c r="B1125" s="54">
        <v>47115</v>
      </c>
      <c r="C1125" s="55" t="str">
        <f t="shared" si="17"/>
        <v>Thu</v>
      </c>
      <c r="D1125" s="55"/>
      <c r="O1125" s="49"/>
    </row>
    <row r="1126" spans="1:15" hidden="1" x14ac:dyDescent="0.3">
      <c r="A1126" s="49"/>
      <c r="B1126" s="54">
        <v>47116</v>
      </c>
      <c r="C1126" s="55" t="str">
        <f t="shared" si="17"/>
        <v>Fri</v>
      </c>
      <c r="D1126" s="55"/>
      <c r="O1126" s="49"/>
    </row>
    <row r="1127" spans="1:15" hidden="1" x14ac:dyDescent="0.3">
      <c r="A1127" s="49"/>
      <c r="B1127" s="54">
        <v>47117</v>
      </c>
      <c r="C1127" s="55" t="str">
        <f t="shared" si="17"/>
        <v>Sat</v>
      </c>
      <c r="D1127" s="55"/>
      <c r="O1127" s="49"/>
    </row>
    <row r="1128" spans="1:15" hidden="1" x14ac:dyDescent="0.3">
      <c r="A1128" s="49"/>
      <c r="B1128" s="54">
        <v>47118</v>
      </c>
      <c r="C1128" s="55" t="str">
        <f t="shared" si="17"/>
        <v>Sun</v>
      </c>
      <c r="D1128" s="55"/>
      <c r="O1128" s="49"/>
    </row>
    <row r="1129" spans="1:15" hidden="1" x14ac:dyDescent="0.3">
      <c r="A1129" s="49"/>
      <c r="B1129" s="54">
        <v>47119</v>
      </c>
      <c r="C1129" s="55" t="str">
        <f t="shared" si="17"/>
        <v>Mon</v>
      </c>
      <c r="D1129" s="55"/>
      <c r="O1129" s="49"/>
    </row>
    <row r="1130" spans="1:15" hidden="1" x14ac:dyDescent="0.3">
      <c r="A1130" s="49"/>
      <c r="B1130" s="54">
        <v>47120</v>
      </c>
      <c r="C1130" s="55" t="str">
        <f t="shared" si="17"/>
        <v>Tue</v>
      </c>
      <c r="D1130" s="55"/>
      <c r="O1130" s="49"/>
    </row>
    <row r="1131" spans="1:15" hidden="1" x14ac:dyDescent="0.3">
      <c r="A1131" s="49"/>
      <c r="B1131" s="54">
        <v>47121</v>
      </c>
      <c r="C1131" s="55" t="str">
        <f t="shared" si="17"/>
        <v>Wed</v>
      </c>
      <c r="D1131" s="55"/>
      <c r="O1131" s="49"/>
    </row>
    <row r="1132" spans="1:15" hidden="1" x14ac:dyDescent="0.3">
      <c r="A1132" s="49"/>
      <c r="B1132" s="54">
        <v>47122</v>
      </c>
      <c r="C1132" s="55" t="str">
        <f t="shared" si="17"/>
        <v>Thu</v>
      </c>
      <c r="D1132" s="55"/>
      <c r="O1132" s="49"/>
    </row>
    <row r="1133" spans="1:15" hidden="1" x14ac:dyDescent="0.3">
      <c r="A1133" s="49"/>
      <c r="B1133" s="54">
        <v>47123</v>
      </c>
      <c r="C1133" s="55" t="str">
        <f t="shared" si="17"/>
        <v>Fri</v>
      </c>
      <c r="D1133" s="55"/>
      <c r="O1133" s="49"/>
    </row>
    <row r="1134" spans="1:15" hidden="1" x14ac:dyDescent="0.3">
      <c r="A1134" s="49"/>
      <c r="B1134" s="54">
        <v>47124</v>
      </c>
      <c r="C1134" s="55" t="str">
        <f t="shared" si="17"/>
        <v>Sat</v>
      </c>
      <c r="D1134" s="55"/>
      <c r="O1134" s="49"/>
    </row>
    <row r="1135" spans="1:15" hidden="1" x14ac:dyDescent="0.3">
      <c r="A1135" s="49"/>
      <c r="B1135" s="54">
        <v>47125</v>
      </c>
      <c r="C1135" s="55" t="str">
        <f t="shared" si="17"/>
        <v>Sun</v>
      </c>
      <c r="D1135" s="55"/>
      <c r="O1135" s="49"/>
    </row>
    <row r="1136" spans="1:15" hidden="1" x14ac:dyDescent="0.3">
      <c r="A1136" s="49"/>
      <c r="B1136" s="54">
        <v>47126</v>
      </c>
      <c r="C1136" s="55" t="str">
        <f t="shared" si="17"/>
        <v>Mon</v>
      </c>
      <c r="D1136" s="55"/>
      <c r="O1136" s="49"/>
    </row>
    <row r="1137" spans="1:15" hidden="1" x14ac:dyDescent="0.3">
      <c r="A1137" s="49"/>
      <c r="B1137" s="54">
        <v>47127</v>
      </c>
      <c r="C1137" s="55" t="str">
        <f t="shared" si="17"/>
        <v>Tue</v>
      </c>
      <c r="D1137" s="55"/>
      <c r="O1137" s="49"/>
    </row>
    <row r="1138" spans="1:15" hidden="1" x14ac:dyDescent="0.3">
      <c r="A1138" s="49"/>
      <c r="B1138" s="54">
        <v>47128</v>
      </c>
      <c r="C1138" s="55" t="str">
        <f t="shared" si="17"/>
        <v>Wed</v>
      </c>
      <c r="D1138" s="55"/>
      <c r="O1138" s="49"/>
    </row>
    <row r="1139" spans="1:15" hidden="1" x14ac:dyDescent="0.3">
      <c r="A1139" s="49"/>
      <c r="B1139" s="54">
        <v>47129</v>
      </c>
      <c r="C1139" s="55" t="str">
        <f t="shared" si="17"/>
        <v>Thu</v>
      </c>
      <c r="D1139" s="55"/>
      <c r="O1139" s="49"/>
    </row>
    <row r="1140" spans="1:15" hidden="1" x14ac:dyDescent="0.3">
      <c r="A1140" s="49"/>
      <c r="B1140" s="54">
        <v>47130</v>
      </c>
      <c r="C1140" s="55" t="str">
        <f t="shared" si="17"/>
        <v>Fri</v>
      </c>
      <c r="D1140" s="55"/>
      <c r="O1140" s="49"/>
    </row>
    <row r="1141" spans="1:15" hidden="1" x14ac:dyDescent="0.3">
      <c r="A1141" s="49"/>
      <c r="B1141" s="54">
        <v>47131</v>
      </c>
      <c r="C1141" s="55" t="str">
        <f t="shared" si="17"/>
        <v>Sat</v>
      </c>
      <c r="D1141" s="55"/>
      <c r="O1141" s="49"/>
    </row>
    <row r="1142" spans="1:15" hidden="1" x14ac:dyDescent="0.3">
      <c r="A1142" s="49"/>
      <c r="B1142" s="54">
        <v>47132</v>
      </c>
      <c r="C1142" s="55" t="str">
        <f t="shared" si="17"/>
        <v>Sun</v>
      </c>
      <c r="D1142" s="55"/>
      <c r="O1142" s="49"/>
    </row>
    <row r="1143" spans="1:15" hidden="1" x14ac:dyDescent="0.3">
      <c r="A1143" s="49"/>
      <c r="B1143" s="54">
        <v>47133</v>
      </c>
      <c r="C1143" s="55" t="str">
        <f t="shared" si="17"/>
        <v>Mon</v>
      </c>
      <c r="D1143" s="55"/>
      <c r="O1143" s="49"/>
    </row>
    <row r="1144" spans="1:15" hidden="1" x14ac:dyDescent="0.3">
      <c r="A1144" s="49"/>
      <c r="B1144" s="54">
        <v>47134</v>
      </c>
      <c r="C1144" s="55" t="str">
        <f t="shared" si="17"/>
        <v>Tue</v>
      </c>
      <c r="D1144" s="55"/>
      <c r="O1144" s="49"/>
    </row>
    <row r="1145" spans="1:15" hidden="1" x14ac:dyDescent="0.3">
      <c r="A1145" s="49"/>
      <c r="B1145" s="54">
        <v>47135</v>
      </c>
      <c r="C1145" s="55" t="str">
        <f t="shared" si="17"/>
        <v>Wed</v>
      </c>
      <c r="D1145" s="55"/>
      <c r="O1145" s="49"/>
    </row>
    <row r="1146" spans="1:15" hidden="1" x14ac:dyDescent="0.3">
      <c r="A1146" s="49"/>
      <c r="B1146" s="54">
        <v>47136</v>
      </c>
      <c r="C1146" s="55" t="str">
        <f t="shared" si="17"/>
        <v>Thu</v>
      </c>
      <c r="D1146" s="55"/>
      <c r="O1146" s="49"/>
    </row>
    <row r="1147" spans="1:15" hidden="1" x14ac:dyDescent="0.3">
      <c r="A1147" s="49"/>
      <c r="B1147" s="54">
        <v>47137</v>
      </c>
      <c r="C1147" s="55" t="str">
        <f t="shared" si="17"/>
        <v>Fri</v>
      </c>
      <c r="D1147" s="55"/>
      <c r="O1147" s="49"/>
    </row>
    <row r="1148" spans="1:15" hidden="1" x14ac:dyDescent="0.3">
      <c r="A1148" s="49"/>
      <c r="B1148" s="54">
        <v>47138</v>
      </c>
      <c r="C1148" s="55" t="str">
        <f t="shared" si="17"/>
        <v>Sat</v>
      </c>
      <c r="D1148" s="55"/>
      <c r="O1148" s="49"/>
    </row>
    <row r="1149" spans="1:15" hidden="1" x14ac:dyDescent="0.3">
      <c r="A1149" s="49"/>
      <c r="B1149" s="54">
        <v>47139</v>
      </c>
      <c r="C1149" s="55" t="str">
        <f t="shared" si="17"/>
        <v>Sun</v>
      </c>
      <c r="D1149" s="55"/>
      <c r="O1149" s="49"/>
    </row>
    <row r="1150" spans="1:15" hidden="1" x14ac:dyDescent="0.3">
      <c r="A1150" s="49"/>
      <c r="B1150" s="54">
        <v>47140</v>
      </c>
      <c r="C1150" s="55" t="str">
        <f t="shared" si="17"/>
        <v>Mon</v>
      </c>
      <c r="D1150" s="55"/>
      <c r="O1150" s="49"/>
    </row>
    <row r="1151" spans="1:15" hidden="1" x14ac:dyDescent="0.3">
      <c r="A1151" s="49"/>
      <c r="B1151" s="54">
        <v>47141</v>
      </c>
      <c r="C1151" s="55" t="str">
        <f t="shared" si="17"/>
        <v>Tue</v>
      </c>
      <c r="D1151" s="55"/>
      <c r="O1151" s="49"/>
    </row>
    <row r="1152" spans="1:15" hidden="1" x14ac:dyDescent="0.3">
      <c r="A1152" s="49"/>
      <c r="B1152" s="54">
        <v>47142</v>
      </c>
      <c r="C1152" s="55" t="str">
        <f t="shared" si="17"/>
        <v>Wed</v>
      </c>
      <c r="D1152" s="55"/>
      <c r="O1152" s="49"/>
    </row>
    <row r="1153" spans="1:15" hidden="1" x14ac:dyDescent="0.3">
      <c r="A1153" s="49"/>
      <c r="B1153" s="54">
        <v>47143</v>
      </c>
      <c r="C1153" s="55" t="str">
        <f t="shared" si="17"/>
        <v>Thu</v>
      </c>
      <c r="D1153" s="55"/>
      <c r="O1153" s="49"/>
    </row>
    <row r="1154" spans="1:15" hidden="1" x14ac:dyDescent="0.3">
      <c r="A1154" s="49"/>
      <c r="B1154" s="54">
        <v>47144</v>
      </c>
      <c r="C1154" s="55" t="str">
        <f t="shared" si="17"/>
        <v>Fri</v>
      </c>
      <c r="D1154" s="55"/>
      <c r="O1154" s="49"/>
    </row>
    <row r="1155" spans="1:15" hidden="1" x14ac:dyDescent="0.3">
      <c r="A1155" s="49"/>
      <c r="B1155" s="54">
        <v>47145</v>
      </c>
      <c r="C1155" s="55" t="str">
        <f t="shared" si="17"/>
        <v>Sat</v>
      </c>
      <c r="D1155" s="55"/>
      <c r="O1155" s="49"/>
    </row>
    <row r="1156" spans="1:15" hidden="1" x14ac:dyDescent="0.3">
      <c r="A1156" s="49"/>
      <c r="B1156" s="54">
        <v>47146</v>
      </c>
      <c r="C1156" s="55" t="str">
        <f t="shared" si="17"/>
        <v>Sun</v>
      </c>
      <c r="D1156" s="55"/>
      <c r="O1156" s="49"/>
    </row>
    <row r="1157" spans="1:15" hidden="1" x14ac:dyDescent="0.3">
      <c r="A1157" s="49"/>
      <c r="B1157" s="54">
        <v>47147</v>
      </c>
      <c r="C1157" s="55" t="str">
        <f t="shared" si="17"/>
        <v>Mon</v>
      </c>
      <c r="D1157" s="55"/>
      <c r="O1157" s="49"/>
    </row>
    <row r="1158" spans="1:15" hidden="1" x14ac:dyDescent="0.3">
      <c r="A1158" s="49"/>
      <c r="B1158" s="54">
        <v>47148</v>
      </c>
      <c r="C1158" s="55" t="str">
        <f t="shared" si="17"/>
        <v>Tue</v>
      </c>
      <c r="D1158" s="55"/>
      <c r="O1158" s="49"/>
    </row>
    <row r="1159" spans="1:15" hidden="1" x14ac:dyDescent="0.3">
      <c r="A1159" s="49"/>
      <c r="B1159" s="54">
        <v>47149</v>
      </c>
      <c r="C1159" s="55" t="str">
        <f t="shared" si="17"/>
        <v>Wed</v>
      </c>
      <c r="D1159" s="55"/>
      <c r="O1159" s="49"/>
    </row>
    <row r="1160" spans="1:15" hidden="1" x14ac:dyDescent="0.3">
      <c r="A1160" s="49"/>
      <c r="B1160" s="54">
        <v>47150</v>
      </c>
      <c r="C1160" s="55" t="str">
        <f t="shared" si="17"/>
        <v>Thu</v>
      </c>
      <c r="D1160" s="55"/>
      <c r="O1160" s="49"/>
    </row>
    <row r="1161" spans="1:15" hidden="1" x14ac:dyDescent="0.3">
      <c r="A1161" s="49"/>
      <c r="B1161" s="54">
        <v>47151</v>
      </c>
      <c r="C1161" s="55" t="str">
        <f t="shared" si="17"/>
        <v>Fri</v>
      </c>
      <c r="D1161" s="55"/>
      <c r="O1161" s="49"/>
    </row>
    <row r="1162" spans="1:15" hidden="1" x14ac:dyDescent="0.3">
      <c r="A1162" s="49"/>
      <c r="B1162" s="54">
        <v>47152</v>
      </c>
      <c r="C1162" s="55" t="str">
        <f t="shared" si="17"/>
        <v>Sat</v>
      </c>
      <c r="D1162" s="55"/>
      <c r="O1162" s="49"/>
    </row>
    <row r="1163" spans="1:15" hidden="1" x14ac:dyDescent="0.3">
      <c r="A1163" s="49"/>
      <c r="B1163" s="54">
        <v>47153</v>
      </c>
      <c r="C1163" s="55" t="str">
        <f t="shared" si="17"/>
        <v>Sun</v>
      </c>
      <c r="D1163" s="55"/>
      <c r="O1163" s="49"/>
    </row>
    <row r="1164" spans="1:15" hidden="1" x14ac:dyDescent="0.3">
      <c r="A1164" s="49"/>
      <c r="B1164" s="54">
        <v>47154</v>
      </c>
      <c r="C1164" s="55" t="str">
        <f t="shared" si="17"/>
        <v>Mon</v>
      </c>
      <c r="D1164" s="55"/>
      <c r="O1164" s="49"/>
    </row>
    <row r="1165" spans="1:15" hidden="1" x14ac:dyDescent="0.3">
      <c r="A1165" s="49"/>
      <c r="B1165" s="54">
        <v>47155</v>
      </c>
      <c r="C1165" s="55" t="str">
        <f t="shared" si="17"/>
        <v>Tue</v>
      </c>
      <c r="D1165" s="55"/>
      <c r="O1165" s="49"/>
    </row>
    <row r="1166" spans="1:15" hidden="1" x14ac:dyDescent="0.3">
      <c r="A1166" s="49"/>
      <c r="B1166" s="54">
        <v>47156</v>
      </c>
      <c r="C1166" s="55" t="str">
        <f t="shared" si="17"/>
        <v>Wed</v>
      </c>
      <c r="D1166" s="55"/>
      <c r="O1166" s="49"/>
    </row>
    <row r="1167" spans="1:15" hidden="1" x14ac:dyDescent="0.3">
      <c r="A1167" s="49"/>
      <c r="B1167" s="54">
        <v>47157</v>
      </c>
      <c r="C1167" s="55" t="str">
        <f t="shared" si="17"/>
        <v>Thu</v>
      </c>
      <c r="D1167" s="55"/>
      <c r="O1167" s="49"/>
    </row>
    <row r="1168" spans="1:15" hidden="1" x14ac:dyDescent="0.3">
      <c r="A1168" s="49"/>
      <c r="B1168" s="54">
        <v>47158</v>
      </c>
      <c r="C1168" s="55" t="str">
        <f t="shared" si="17"/>
        <v>Fri</v>
      </c>
      <c r="D1168" s="55"/>
      <c r="O1168" s="49"/>
    </row>
    <row r="1169" spans="1:15" hidden="1" x14ac:dyDescent="0.3">
      <c r="A1169" s="49"/>
      <c r="B1169" s="54">
        <v>47159</v>
      </c>
      <c r="C1169" s="55" t="str">
        <f t="shared" si="17"/>
        <v>Sat</v>
      </c>
      <c r="D1169" s="55"/>
      <c r="O1169" s="49"/>
    </row>
    <row r="1170" spans="1:15" hidden="1" x14ac:dyDescent="0.3">
      <c r="A1170" s="49"/>
      <c r="B1170" s="54">
        <v>47160</v>
      </c>
      <c r="C1170" s="55" t="str">
        <f t="shared" si="17"/>
        <v>Sun</v>
      </c>
      <c r="D1170" s="55"/>
      <c r="O1170" s="49"/>
    </row>
    <row r="1171" spans="1:15" hidden="1" x14ac:dyDescent="0.3">
      <c r="A1171" s="49"/>
      <c r="B1171" s="54">
        <v>47161</v>
      </c>
      <c r="C1171" s="55" t="str">
        <f t="shared" si="17"/>
        <v>Mon</v>
      </c>
      <c r="D1171" s="55"/>
      <c r="O1171" s="49"/>
    </row>
    <row r="1172" spans="1:15" hidden="1" x14ac:dyDescent="0.3">
      <c r="A1172" s="49"/>
      <c r="B1172" s="54">
        <v>47162</v>
      </c>
      <c r="C1172" s="55" t="str">
        <f t="shared" si="17"/>
        <v>Tue</v>
      </c>
      <c r="D1172" s="55"/>
      <c r="O1172" s="49"/>
    </row>
    <row r="1173" spans="1:15" hidden="1" x14ac:dyDescent="0.3">
      <c r="A1173" s="49"/>
      <c r="B1173" s="54">
        <v>47163</v>
      </c>
      <c r="C1173" s="55" t="str">
        <f t="shared" si="17"/>
        <v>Wed</v>
      </c>
      <c r="D1173" s="55"/>
      <c r="O1173" s="49"/>
    </row>
    <row r="1174" spans="1:15" hidden="1" x14ac:dyDescent="0.3">
      <c r="A1174" s="49"/>
      <c r="B1174" s="54">
        <v>47164</v>
      </c>
      <c r="C1174" s="55" t="str">
        <f t="shared" si="17"/>
        <v>Thu</v>
      </c>
      <c r="D1174" s="55"/>
      <c r="O1174" s="49"/>
    </row>
    <row r="1175" spans="1:15" hidden="1" x14ac:dyDescent="0.3">
      <c r="A1175" s="49"/>
      <c r="B1175" s="54">
        <v>47165</v>
      </c>
      <c r="C1175" s="55" t="str">
        <f t="shared" si="17"/>
        <v>Fri</v>
      </c>
      <c r="D1175" s="55"/>
      <c r="O1175" s="49"/>
    </row>
    <row r="1176" spans="1:15" hidden="1" x14ac:dyDescent="0.3">
      <c r="A1176" s="49"/>
      <c r="B1176" s="54">
        <v>47166</v>
      </c>
      <c r="C1176" s="55" t="str">
        <f t="shared" si="17"/>
        <v>Sat</v>
      </c>
      <c r="D1176" s="55"/>
      <c r="O1176" s="49"/>
    </row>
    <row r="1177" spans="1:15" hidden="1" x14ac:dyDescent="0.3">
      <c r="A1177" s="49"/>
      <c r="B1177" s="54">
        <v>47167</v>
      </c>
      <c r="C1177" s="55" t="str">
        <f t="shared" si="17"/>
        <v>Sun</v>
      </c>
      <c r="D1177" s="55"/>
      <c r="O1177" s="49"/>
    </row>
    <row r="1178" spans="1:15" hidden="1" x14ac:dyDescent="0.3">
      <c r="A1178" s="49"/>
      <c r="B1178" s="54">
        <v>47168</v>
      </c>
      <c r="C1178" s="55" t="str">
        <f t="shared" si="17"/>
        <v>Mon</v>
      </c>
      <c r="D1178" s="55"/>
      <c r="O1178" s="49"/>
    </row>
    <row r="1179" spans="1:15" hidden="1" x14ac:dyDescent="0.3">
      <c r="A1179" s="49"/>
      <c r="B1179" s="54">
        <v>47169</v>
      </c>
      <c r="C1179" s="55" t="str">
        <f t="shared" si="17"/>
        <v>Tue</v>
      </c>
      <c r="D1179" s="55"/>
      <c r="O1179" s="49"/>
    </row>
    <row r="1180" spans="1:15" hidden="1" x14ac:dyDescent="0.3">
      <c r="A1180" s="49"/>
      <c r="B1180" s="54">
        <v>47170</v>
      </c>
      <c r="C1180" s="55" t="str">
        <f t="shared" si="17"/>
        <v>Wed</v>
      </c>
      <c r="D1180" s="55"/>
      <c r="O1180" s="49"/>
    </row>
    <row r="1181" spans="1:15" hidden="1" x14ac:dyDescent="0.3">
      <c r="A1181" s="49"/>
      <c r="B1181" s="54">
        <v>47171</v>
      </c>
      <c r="C1181" s="55" t="str">
        <f t="shared" si="17"/>
        <v>Thu</v>
      </c>
      <c r="D1181" s="55"/>
      <c r="O1181" s="49"/>
    </row>
    <row r="1182" spans="1:15" hidden="1" x14ac:dyDescent="0.3">
      <c r="A1182" s="49"/>
      <c r="B1182" s="54">
        <v>47172</v>
      </c>
      <c r="C1182" s="55" t="str">
        <f t="shared" si="17"/>
        <v>Fri</v>
      </c>
      <c r="D1182" s="55"/>
      <c r="O1182" s="49"/>
    </row>
    <row r="1183" spans="1:15" hidden="1" x14ac:dyDescent="0.3">
      <c r="A1183" s="49"/>
      <c r="B1183" s="54">
        <v>47173</v>
      </c>
      <c r="C1183" s="55" t="str">
        <f t="shared" si="17"/>
        <v>Sat</v>
      </c>
      <c r="D1183" s="55"/>
      <c r="O1183" s="49"/>
    </row>
    <row r="1184" spans="1:15" hidden="1" x14ac:dyDescent="0.3">
      <c r="A1184" s="49"/>
      <c r="B1184" s="54">
        <v>47174</v>
      </c>
      <c r="C1184" s="55" t="str">
        <f t="shared" si="17"/>
        <v>Sun</v>
      </c>
      <c r="D1184" s="55"/>
      <c r="O1184" s="49"/>
    </row>
    <row r="1185" spans="1:15" hidden="1" x14ac:dyDescent="0.3">
      <c r="A1185" s="49"/>
      <c r="B1185" s="54">
        <v>47175</v>
      </c>
      <c r="C1185" s="55" t="str">
        <f t="shared" si="17"/>
        <v>Mon</v>
      </c>
      <c r="D1185" s="55"/>
      <c r="O1185" s="49"/>
    </row>
    <row r="1186" spans="1:15" hidden="1" x14ac:dyDescent="0.3">
      <c r="A1186" s="49"/>
      <c r="B1186" s="54">
        <v>47176</v>
      </c>
      <c r="C1186" s="55" t="str">
        <f t="shared" ref="C1186:C1249" si="18">TEXT(B1186,"ddd")</f>
        <v>Tue</v>
      </c>
      <c r="D1186" s="55"/>
      <c r="O1186" s="49"/>
    </row>
    <row r="1187" spans="1:15" hidden="1" x14ac:dyDescent="0.3">
      <c r="A1187" s="49"/>
      <c r="B1187" s="54">
        <v>47177</v>
      </c>
      <c r="C1187" s="55" t="str">
        <f t="shared" si="18"/>
        <v>Wed</v>
      </c>
      <c r="D1187" s="55"/>
      <c r="O1187" s="49"/>
    </row>
    <row r="1188" spans="1:15" hidden="1" x14ac:dyDescent="0.3">
      <c r="A1188" s="49"/>
      <c r="B1188" s="54">
        <v>47178</v>
      </c>
      <c r="C1188" s="55" t="str">
        <f t="shared" si="18"/>
        <v>Thu</v>
      </c>
      <c r="D1188" s="55"/>
      <c r="O1188" s="49"/>
    </row>
    <row r="1189" spans="1:15" hidden="1" x14ac:dyDescent="0.3">
      <c r="A1189" s="49"/>
      <c r="B1189" s="54">
        <v>47179</v>
      </c>
      <c r="C1189" s="55" t="str">
        <f t="shared" si="18"/>
        <v>Fri</v>
      </c>
      <c r="D1189" s="55"/>
      <c r="O1189" s="49"/>
    </row>
    <row r="1190" spans="1:15" hidden="1" x14ac:dyDescent="0.3">
      <c r="A1190" s="49"/>
      <c r="B1190" s="54">
        <v>47180</v>
      </c>
      <c r="C1190" s="55" t="str">
        <f t="shared" si="18"/>
        <v>Sat</v>
      </c>
      <c r="D1190" s="55"/>
      <c r="O1190" s="49"/>
    </row>
    <row r="1191" spans="1:15" hidden="1" x14ac:dyDescent="0.3">
      <c r="A1191" s="49"/>
      <c r="B1191" s="54">
        <v>47181</v>
      </c>
      <c r="C1191" s="55" t="str">
        <f t="shared" si="18"/>
        <v>Sun</v>
      </c>
      <c r="D1191" s="55"/>
      <c r="O1191" s="49"/>
    </row>
    <row r="1192" spans="1:15" hidden="1" x14ac:dyDescent="0.3">
      <c r="A1192" s="49"/>
      <c r="B1192" s="54">
        <v>47182</v>
      </c>
      <c r="C1192" s="55" t="str">
        <f t="shared" si="18"/>
        <v>Mon</v>
      </c>
      <c r="D1192" s="55"/>
      <c r="O1192" s="49"/>
    </row>
    <row r="1193" spans="1:15" hidden="1" x14ac:dyDescent="0.3">
      <c r="A1193" s="49"/>
      <c r="B1193" s="54">
        <v>47183</v>
      </c>
      <c r="C1193" s="55" t="str">
        <f t="shared" si="18"/>
        <v>Tue</v>
      </c>
      <c r="D1193" s="55"/>
      <c r="O1193" s="49"/>
    </row>
    <row r="1194" spans="1:15" hidden="1" x14ac:dyDescent="0.3">
      <c r="A1194" s="49"/>
      <c r="B1194" s="54">
        <v>47184</v>
      </c>
      <c r="C1194" s="55" t="str">
        <f t="shared" si="18"/>
        <v>Wed</v>
      </c>
      <c r="D1194" s="55"/>
      <c r="O1194" s="49"/>
    </row>
    <row r="1195" spans="1:15" hidden="1" x14ac:dyDescent="0.3">
      <c r="A1195" s="49"/>
      <c r="B1195" s="54">
        <v>47185</v>
      </c>
      <c r="C1195" s="55" t="str">
        <f t="shared" si="18"/>
        <v>Thu</v>
      </c>
      <c r="D1195" s="55"/>
      <c r="O1195" s="49"/>
    </row>
    <row r="1196" spans="1:15" hidden="1" x14ac:dyDescent="0.3">
      <c r="A1196" s="49"/>
      <c r="B1196" s="54">
        <v>47186</v>
      </c>
      <c r="C1196" s="55" t="str">
        <f t="shared" si="18"/>
        <v>Fri</v>
      </c>
      <c r="D1196" s="55"/>
      <c r="O1196" s="49"/>
    </row>
    <row r="1197" spans="1:15" hidden="1" x14ac:dyDescent="0.3">
      <c r="A1197" s="49"/>
      <c r="B1197" s="54">
        <v>47187</v>
      </c>
      <c r="C1197" s="55" t="str">
        <f t="shared" si="18"/>
        <v>Sat</v>
      </c>
      <c r="D1197" s="55"/>
      <c r="O1197" s="49"/>
    </row>
    <row r="1198" spans="1:15" hidden="1" x14ac:dyDescent="0.3">
      <c r="A1198" s="49"/>
      <c r="B1198" s="54">
        <v>47188</v>
      </c>
      <c r="C1198" s="55" t="str">
        <f t="shared" si="18"/>
        <v>Sun</v>
      </c>
      <c r="D1198" s="55"/>
      <c r="O1198" s="49"/>
    </row>
    <row r="1199" spans="1:15" hidden="1" x14ac:dyDescent="0.3">
      <c r="A1199" s="49"/>
      <c r="B1199" s="54">
        <v>47189</v>
      </c>
      <c r="C1199" s="55" t="str">
        <f t="shared" si="18"/>
        <v>Mon</v>
      </c>
      <c r="D1199" s="55"/>
      <c r="O1199" s="49"/>
    </row>
    <row r="1200" spans="1:15" hidden="1" x14ac:dyDescent="0.3">
      <c r="A1200" s="49"/>
      <c r="B1200" s="54">
        <v>47190</v>
      </c>
      <c r="C1200" s="55" t="str">
        <f t="shared" si="18"/>
        <v>Tue</v>
      </c>
      <c r="D1200" s="55"/>
      <c r="O1200" s="49"/>
    </row>
    <row r="1201" spans="1:15" hidden="1" x14ac:dyDescent="0.3">
      <c r="A1201" s="49"/>
      <c r="B1201" s="54">
        <v>47191</v>
      </c>
      <c r="C1201" s="55" t="str">
        <f t="shared" si="18"/>
        <v>Wed</v>
      </c>
      <c r="D1201" s="55"/>
      <c r="O1201" s="49"/>
    </row>
    <row r="1202" spans="1:15" hidden="1" x14ac:dyDescent="0.3">
      <c r="A1202" s="49"/>
      <c r="B1202" s="54">
        <v>47192</v>
      </c>
      <c r="C1202" s="55" t="str">
        <f t="shared" si="18"/>
        <v>Thu</v>
      </c>
      <c r="D1202" s="55"/>
      <c r="O1202" s="49"/>
    </row>
    <row r="1203" spans="1:15" hidden="1" x14ac:dyDescent="0.3">
      <c r="A1203" s="49"/>
      <c r="B1203" s="54">
        <v>47193</v>
      </c>
      <c r="C1203" s="55" t="str">
        <f t="shared" si="18"/>
        <v>Fri</v>
      </c>
      <c r="D1203" s="55"/>
      <c r="O1203" s="49"/>
    </row>
    <row r="1204" spans="1:15" hidden="1" x14ac:dyDescent="0.3">
      <c r="A1204" s="49"/>
      <c r="B1204" s="54">
        <v>47194</v>
      </c>
      <c r="C1204" s="55" t="str">
        <f t="shared" si="18"/>
        <v>Sat</v>
      </c>
      <c r="D1204" s="55"/>
      <c r="O1204" s="49"/>
    </row>
    <row r="1205" spans="1:15" hidden="1" x14ac:dyDescent="0.3">
      <c r="A1205" s="49"/>
      <c r="B1205" s="54">
        <v>47195</v>
      </c>
      <c r="C1205" s="55" t="str">
        <f t="shared" si="18"/>
        <v>Sun</v>
      </c>
      <c r="D1205" s="55"/>
      <c r="O1205" s="49"/>
    </row>
    <row r="1206" spans="1:15" hidden="1" x14ac:dyDescent="0.3">
      <c r="A1206" s="49"/>
      <c r="B1206" s="54">
        <v>47196</v>
      </c>
      <c r="C1206" s="55" t="str">
        <f t="shared" si="18"/>
        <v>Mon</v>
      </c>
      <c r="D1206" s="55"/>
      <c r="O1206" s="49"/>
    </row>
    <row r="1207" spans="1:15" hidden="1" x14ac:dyDescent="0.3">
      <c r="A1207" s="49"/>
      <c r="B1207" s="54">
        <v>47197</v>
      </c>
      <c r="C1207" s="55" t="str">
        <f t="shared" si="18"/>
        <v>Tue</v>
      </c>
      <c r="D1207" s="55"/>
      <c r="O1207" s="49"/>
    </row>
    <row r="1208" spans="1:15" hidden="1" x14ac:dyDescent="0.3">
      <c r="A1208" s="49"/>
      <c r="B1208" s="54">
        <v>47198</v>
      </c>
      <c r="C1208" s="55" t="str">
        <f t="shared" si="18"/>
        <v>Wed</v>
      </c>
      <c r="D1208" s="55"/>
      <c r="O1208" s="49"/>
    </row>
    <row r="1209" spans="1:15" hidden="1" x14ac:dyDescent="0.3">
      <c r="A1209" s="49"/>
      <c r="B1209" s="54">
        <v>47199</v>
      </c>
      <c r="C1209" s="55" t="str">
        <f t="shared" si="18"/>
        <v>Thu</v>
      </c>
      <c r="D1209" s="55"/>
      <c r="O1209" s="49"/>
    </row>
    <row r="1210" spans="1:15" hidden="1" x14ac:dyDescent="0.3">
      <c r="A1210" s="49"/>
      <c r="B1210" s="54">
        <v>47200</v>
      </c>
      <c r="C1210" s="55" t="str">
        <f t="shared" si="18"/>
        <v>Fri</v>
      </c>
      <c r="D1210" s="55"/>
      <c r="O1210" s="49"/>
    </row>
    <row r="1211" spans="1:15" hidden="1" x14ac:dyDescent="0.3">
      <c r="A1211" s="49"/>
      <c r="B1211" s="54">
        <v>47201</v>
      </c>
      <c r="C1211" s="55" t="str">
        <f t="shared" si="18"/>
        <v>Sat</v>
      </c>
      <c r="D1211" s="55"/>
      <c r="O1211" s="49"/>
    </row>
    <row r="1212" spans="1:15" hidden="1" x14ac:dyDescent="0.3">
      <c r="A1212" s="49"/>
      <c r="B1212" s="54">
        <v>47202</v>
      </c>
      <c r="C1212" s="55" t="str">
        <f t="shared" si="18"/>
        <v>Sun</v>
      </c>
      <c r="D1212" s="55"/>
      <c r="O1212" s="49"/>
    </row>
    <row r="1213" spans="1:15" hidden="1" x14ac:dyDescent="0.3">
      <c r="A1213" s="49"/>
      <c r="B1213" s="54">
        <v>47203</v>
      </c>
      <c r="C1213" s="55" t="str">
        <f t="shared" si="18"/>
        <v>Mon</v>
      </c>
      <c r="D1213" s="55"/>
      <c r="O1213" s="49"/>
    </row>
    <row r="1214" spans="1:15" hidden="1" x14ac:dyDescent="0.3">
      <c r="A1214" s="49"/>
      <c r="B1214" s="54">
        <v>47204</v>
      </c>
      <c r="C1214" s="55" t="str">
        <f t="shared" si="18"/>
        <v>Tue</v>
      </c>
      <c r="D1214" s="55"/>
      <c r="O1214" s="49"/>
    </row>
    <row r="1215" spans="1:15" hidden="1" x14ac:dyDescent="0.3">
      <c r="A1215" s="49"/>
      <c r="B1215" s="54">
        <v>47205</v>
      </c>
      <c r="C1215" s="55" t="str">
        <f t="shared" si="18"/>
        <v>Wed</v>
      </c>
      <c r="D1215" s="55"/>
      <c r="O1215" s="49"/>
    </row>
    <row r="1216" spans="1:15" hidden="1" x14ac:dyDescent="0.3">
      <c r="A1216" s="49"/>
      <c r="B1216" s="54">
        <v>47206</v>
      </c>
      <c r="C1216" s="55" t="str">
        <f t="shared" si="18"/>
        <v>Thu</v>
      </c>
      <c r="D1216" s="55"/>
      <c r="O1216" s="49"/>
    </row>
    <row r="1217" spans="1:15" hidden="1" x14ac:dyDescent="0.3">
      <c r="A1217" s="49"/>
      <c r="B1217" s="54">
        <v>47207</v>
      </c>
      <c r="C1217" s="55" t="str">
        <f t="shared" si="18"/>
        <v>Fri</v>
      </c>
      <c r="D1217" s="55"/>
      <c r="O1217" s="49"/>
    </row>
    <row r="1218" spans="1:15" hidden="1" x14ac:dyDescent="0.3">
      <c r="A1218" s="49"/>
      <c r="B1218" s="54">
        <v>47208</v>
      </c>
      <c r="C1218" s="55" t="str">
        <f t="shared" si="18"/>
        <v>Sat</v>
      </c>
      <c r="D1218" s="55"/>
      <c r="O1218" s="49"/>
    </row>
    <row r="1219" spans="1:15" hidden="1" x14ac:dyDescent="0.3">
      <c r="A1219" s="49"/>
      <c r="B1219" s="54">
        <v>47209</v>
      </c>
      <c r="C1219" s="55" t="str">
        <f t="shared" si="18"/>
        <v>Sun</v>
      </c>
      <c r="D1219" s="55"/>
      <c r="O1219" s="49"/>
    </row>
    <row r="1220" spans="1:15" hidden="1" x14ac:dyDescent="0.3">
      <c r="A1220" s="49"/>
      <c r="B1220" s="54">
        <v>47210</v>
      </c>
      <c r="C1220" s="55" t="str">
        <f t="shared" si="18"/>
        <v>Mon</v>
      </c>
      <c r="D1220" s="55"/>
      <c r="O1220" s="49"/>
    </row>
    <row r="1221" spans="1:15" hidden="1" x14ac:dyDescent="0.3">
      <c r="A1221" s="49"/>
      <c r="B1221" s="54">
        <v>47211</v>
      </c>
      <c r="C1221" s="55" t="str">
        <f t="shared" si="18"/>
        <v>Tue</v>
      </c>
      <c r="D1221" s="55"/>
      <c r="O1221" s="49"/>
    </row>
    <row r="1222" spans="1:15" hidden="1" x14ac:dyDescent="0.3">
      <c r="A1222" s="49"/>
      <c r="B1222" s="54">
        <v>47212</v>
      </c>
      <c r="C1222" s="55" t="str">
        <f t="shared" si="18"/>
        <v>Wed</v>
      </c>
      <c r="D1222" s="55"/>
      <c r="O1222" s="49"/>
    </row>
    <row r="1223" spans="1:15" hidden="1" x14ac:dyDescent="0.3">
      <c r="A1223" s="49"/>
      <c r="B1223" s="54">
        <v>47213</v>
      </c>
      <c r="C1223" s="55" t="str">
        <f t="shared" si="18"/>
        <v>Thu</v>
      </c>
      <c r="D1223" s="55"/>
      <c r="O1223" s="49"/>
    </row>
    <row r="1224" spans="1:15" hidden="1" x14ac:dyDescent="0.3">
      <c r="A1224" s="49"/>
      <c r="B1224" s="54">
        <v>47214</v>
      </c>
      <c r="C1224" s="55" t="str">
        <f t="shared" si="18"/>
        <v>Fri</v>
      </c>
      <c r="D1224" s="55"/>
      <c r="O1224" s="49"/>
    </row>
    <row r="1225" spans="1:15" hidden="1" x14ac:dyDescent="0.3">
      <c r="A1225" s="49"/>
      <c r="B1225" s="54">
        <v>47215</v>
      </c>
      <c r="C1225" s="55" t="str">
        <f t="shared" si="18"/>
        <v>Sat</v>
      </c>
      <c r="D1225" s="55"/>
      <c r="O1225" s="49"/>
    </row>
    <row r="1226" spans="1:15" hidden="1" x14ac:dyDescent="0.3">
      <c r="A1226" s="49"/>
      <c r="B1226" s="54">
        <v>47216</v>
      </c>
      <c r="C1226" s="55" t="str">
        <f t="shared" si="18"/>
        <v>Sun</v>
      </c>
      <c r="D1226" s="55"/>
      <c r="O1226" s="49"/>
    </row>
    <row r="1227" spans="1:15" hidden="1" x14ac:dyDescent="0.3">
      <c r="A1227" s="49"/>
      <c r="B1227" s="54">
        <v>47217</v>
      </c>
      <c r="C1227" s="55" t="str">
        <f t="shared" si="18"/>
        <v>Mon</v>
      </c>
      <c r="D1227" s="55"/>
      <c r="O1227" s="49"/>
    </row>
    <row r="1228" spans="1:15" hidden="1" x14ac:dyDescent="0.3">
      <c r="A1228" s="49"/>
      <c r="B1228" s="54">
        <v>47218</v>
      </c>
      <c r="C1228" s="55" t="str">
        <f t="shared" si="18"/>
        <v>Tue</v>
      </c>
      <c r="D1228" s="55"/>
      <c r="O1228" s="49"/>
    </row>
    <row r="1229" spans="1:15" hidden="1" x14ac:dyDescent="0.3">
      <c r="A1229" s="49"/>
      <c r="B1229" s="54">
        <v>47219</v>
      </c>
      <c r="C1229" s="55" t="str">
        <f t="shared" si="18"/>
        <v>Wed</v>
      </c>
      <c r="D1229" s="55"/>
      <c r="O1229" s="49"/>
    </row>
    <row r="1230" spans="1:15" hidden="1" x14ac:dyDescent="0.3">
      <c r="A1230" s="49"/>
      <c r="B1230" s="54">
        <v>47220</v>
      </c>
      <c r="C1230" s="55" t="str">
        <f t="shared" si="18"/>
        <v>Thu</v>
      </c>
      <c r="D1230" s="55"/>
      <c r="O1230" s="49"/>
    </row>
    <row r="1231" spans="1:15" hidden="1" x14ac:dyDescent="0.3">
      <c r="A1231" s="49"/>
      <c r="B1231" s="54">
        <v>47221</v>
      </c>
      <c r="C1231" s="55" t="str">
        <f t="shared" si="18"/>
        <v>Fri</v>
      </c>
      <c r="D1231" s="55"/>
      <c r="O1231" s="49"/>
    </row>
    <row r="1232" spans="1:15" hidden="1" x14ac:dyDescent="0.3">
      <c r="A1232" s="49"/>
      <c r="B1232" s="54">
        <v>47222</v>
      </c>
      <c r="C1232" s="55" t="str">
        <f t="shared" si="18"/>
        <v>Sat</v>
      </c>
      <c r="D1232" s="55"/>
      <c r="O1232" s="49"/>
    </row>
    <row r="1233" spans="1:15" hidden="1" x14ac:dyDescent="0.3">
      <c r="A1233" s="49"/>
      <c r="B1233" s="54">
        <v>47223</v>
      </c>
      <c r="C1233" s="55" t="str">
        <f t="shared" si="18"/>
        <v>Sun</v>
      </c>
      <c r="D1233" s="55"/>
      <c r="O1233" s="49"/>
    </row>
    <row r="1234" spans="1:15" hidden="1" x14ac:dyDescent="0.3">
      <c r="A1234" s="49"/>
      <c r="B1234" s="54">
        <v>47224</v>
      </c>
      <c r="C1234" s="55" t="str">
        <f t="shared" si="18"/>
        <v>Mon</v>
      </c>
      <c r="D1234" s="55"/>
      <c r="O1234" s="49"/>
    </row>
    <row r="1235" spans="1:15" hidden="1" x14ac:dyDescent="0.3">
      <c r="A1235" s="49"/>
      <c r="B1235" s="54">
        <v>47225</v>
      </c>
      <c r="C1235" s="55" t="str">
        <f t="shared" si="18"/>
        <v>Tue</v>
      </c>
      <c r="D1235" s="55"/>
      <c r="O1235" s="49"/>
    </row>
    <row r="1236" spans="1:15" hidden="1" x14ac:dyDescent="0.3">
      <c r="A1236" s="49"/>
      <c r="B1236" s="54">
        <v>47226</v>
      </c>
      <c r="C1236" s="55" t="str">
        <f t="shared" si="18"/>
        <v>Wed</v>
      </c>
      <c r="D1236" s="55"/>
      <c r="O1236" s="49"/>
    </row>
    <row r="1237" spans="1:15" hidden="1" x14ac:dyDescent="0.3">
      <c r="A1237" s="49"/>
      <c r="B1237" s="54">
        <v>47227</v>
      </c>
      <c r="C1237" s="55" t="str">
        <f t="shared" si="18"/>
        <v>Thu</v>
      </c>
      <c r="D1237" s="55"/>
      <c r="O1237" s="49"/>
    </row>
    <row r="1238" spans="1:15" hidden="1" x14ac:dyDescent="0.3">
      <c r="A1238" s="49"/>
      <c r="B1238" s="54">
        <v>47228</v>
      </c>
      <c r="C1238" s="55" t="str">
        <f t="shared" si="18"/>
        <v>Fri</v>
      </c>
      <c r="D1238" s="55"/>
      <c r="O1238" s="49"/>
    </row>
    <row r="1239" spans="1:15" hidden="1" x14ac:dyDescent="0.3">
      <c r="A1239" s="49"/>
      <c r="B1239" s="54">
        <v>47229</v>
      </c>
      <c r="C1239" s="55" t="str">
        <f t="shared" si="18"/>
        <v>Sat</v>
      </c>
      <c r="D1239" s="55"/>
      <c r="O1239" s="49"/>
    </row>
    <row r="1240" spans="1:15" hidden="1" x14ac:dyDescent="0.3">
      <c r="A1240" s="49"/>
      <c r="B1240" s="54">
        <v>47230</v>
      </c>
      <c r="C1240" s="55" t="str">
        <f t="shared" si="18"/>
        <v>Sun</v>
      </c>
      <c r="D1240" s="55"/>
      <c r="O1240" s="49"/>
    </row>
    <row r="1241" spans="1:15" hidden="1" x14ac:dyDescent="0.3">
      <c r="A1241" s="49"/>
      <c r="B1241" s="54">
        <v>47231</v>
      </c>
      <c r="C1241" s="55" t="str">
        <f t="shared" si="18"/>
        <v>Mon</v>
      </c>
      <c r="D1241" s="55"/>
      <c r="O1241" s="49"/>
    </row>
    <row r="1242" spans="1:15" hidden="1" x14ac:dyDescent="0.3">
      <c r="A1242" s="49"/>
      <c r="B1242" s="54">
        <v>47232</v>
      </c>
      <c r="C1242" s="55" t="str">
        <f t="shared" si="18"/>
        <v>Tue</v>
      </c>
      <c r="D1242" s="55"/>
      <c r="O1242" s="49"/>
    </row>
    <row r="1243" spans="1:15" hidden="1" x14ac:dyDescent="0.3">
      <c r="A1243" s="49"/>
      <c r="B1243" s="54">
        <v>47233</v>
      </c>
      <c r="C1243" s="55" t="str">
        <f t="shared" si="18"/>
        <v>Wed</v>
      </c>
      <c r="D1243" s="55"/>
      <c r="O1243" s="49"/>
    </row>
    <row r="1244" spans="1:15" hidden="1" x14ac:dyDescent="0.3">
      <c r="A1244" s="49"/>
      <c r="B1244" s="54">
        <v>47234</v>
      </c>
      <c r="C1244" s="55" t="str">
        <f t="shared" si="18"/>
        <v>Thu</v>
      </c>
      <c r="D1244" s="55"/>
      <c r="O1244" s="49"/>
    </row>
    <row r="1245" spans="1:15" hidden="1" x14ac:dyDescent="0.3">
      <c r="A1245" s="49"/>
      <c r="B1245" s="54">
        <v>47235</v>
      </c>
      <c r="C1245" s="55" t="str">
        <f t="shared" si="18"/>
        <v>Fri</v>
      </c>
      <c r="D1245" s="55"/>
      <c r="O1245" s="49"/>
    </row>
    <row r="1246" spans="1:15" hidden="1" x14ac:dyDescent="0.3">
      <c r="A1246" s="49"/>
      <c r="B1246" s="54">
        <v>47236</v>
      </c>
      <c r="C1246" s="55" t="str">
        <f t="shared" si="18"/>
        <v>Sat</v>
      </c>
      <c r="D1246" s="55"/>
      <c r="O1246" s="49"/>
    </row>
    <row r="1247" spans="1:15" hidden="1" x14ac:dyDescent="0.3">
      <c r="A1247" s="49"/>
      <c r="B1247" s="54">
        <v>47237</v>
      </c>
      <c r="C1247" s="55" t="str">
        <f t="shared" si="18"/>
        <v>Sun</v>
      </c>
      <c r="D1247" s="55"/>
      <c r="O1247" s="49"/>
    </row>
    <row r="1248" spans="1:15" hidden="1" x14ac:dyDescent="0.3">
      <c r="A1248" s="49"/>
      <c r="B1248" s="54">
        <v>47238</v>
      </c>
      <c r="C1248" s="55" t="str">
        <f t="shared" si="18"/>
        <v>Mon</v>
      </c>
      <c r="D1248" s="55"/>
      <c r="O1248" s="49"/>
    </row>
    <row r="1249" spans="1:15" hidden="1" x14ac:dyDescent="0.3">
      <c r="A1249" s="49"/>
      <c r="B1249" s="54">
        <v>47239</v>
      </c>
      <c r="C1249" s="55" t="str">
        <f t="shared" si="18"/>
        <v>Tue</v>
      </c>
      <c r="D1249" s="55"/>
      <c r="O1249" s="49"/>
    </row>
    <row r="1250" spans="1:15" hidden="1" x14ac:dyDescent="0.3">
      <c r="A1250" s="49"/>
      <c r="B1250" s="54">
        <v>47240</v>
      </c>
      <c r="C1250" s="55" t="str">
        <f t="shared" ref="C1250:C1313" si="19">TEXT(B1250,"ddd")</f>
        <v>Wed</v>
      </c>
      <c r="D1250" s="55"/>
      <c r="O1250" s="49"/>
    </row>
    <row r="1251" spans="1:15" hidden="1" x14ac:dyDescent="0.3">
      <c r="A1251" s="49"/>
      <c r="B1251" s="54">
        <v>47241</v>
      </c>
      <c r="C1251" s="55" t="str">
        <f t="shared" si="19"/>
        <v>Thu</v>
      </c>
      <c r="D1251" s="55"/>
      <c r="O1251" s="49"/>
    </row>
    <row r="1252" spans="1:15" hidden="1" x14ac:dyDescent="0.3">
      <c r="A1252" s="49"/>
      <c r="B1252" s="54">
        <v>47242</v>
      </c>
      <c r="C1252" s="55" t="str">
        <f t="shared" si="19"/>
        <v>Fri</v>
      </c>
      <c r="D1252" s="55"/>
      <c r="O1252" s="49"/>
    </row>
    <row r="1253" spans="1:15" hidden="1" x14ac:dyDescent="0.3">
      <c r="A1253" s="49"/>
      <c r="B1253" s="54">
        <v>47243</v>
      </c>
      <c r="C1253" s="55" t="str">
        <f t="shared" si="19"/>
        <v>Sat</v>
      </c>
      <c r="D1253" s="55"/>
      <c r="O1253" s="49"/>
    </row>
    <row r="1254" spans="1:15" hidden="1" x14ac:dyDescent="0.3">
      <c r="A1254" s="49"/>
      <c r="B1254" s="54">
        <v>47244</v>
      </c>
      <c r="C1254" s="55" t="str">
        <f t="shared" si="19"/>
        <v>Sun</v>
      </c>
      <c r="D1254" s="55"/>
      <c r="O1254" s="49"/>
    </row>
    <row r="1255" spans="1:15" hidden="1" x14ac:dyDescent="0.3">
      <c r="A1255" s="49"/>
      <c r="B1255" s="54">
        <v>47245</v>
      </c>
      <c r="C1255" s="55" t="str">
        <f t="shared" si="19"/>
        <v>Mon</v>
      </c>
      <c r="D1255" s="55"/>
      <c r="O1255" s="49"/>
    </row>
    <row r="1256" spans="1:15" hidden="1" x14ac:dyDescent="0.3">
      <c r="A1256" s="49"/>
      <c r="B1256" s="54">
        <v>47246</v>
      </c>
      <c r="C1256" s="55" t="str">
        <f t="shared" si="19"/>
        <v>Tue</v>
      </c>
      <c r="D1256" s="55"/>
      <c r="O1256" s="49"/>
    </row>
    <row r="1257" spans="1:15" hidden="1" x14ac:dyDescent="0.3">
      <c r="A1257" s="49"/>
      <c r="B1257" s="54">
        <v>47247</v>
      </c>
      <c r="C1257" s="55" t="str">
        <f t="shared" si="19"/>
        <v>Wed</v>
      </c>
      <c r="D1257" s="55"/>
      <c r="O1257" s="49"/>
    </row>
    <row r="1258" spans="1:15" hidden="1" x14ac:dyDescent="0.3">
      <c r="A1258" s="49"/>
      <c r="B1258" s="54">
        <v>47248</v>
      </c>
      <c r="C1258" s="55" t="str">
        <f t="shared" si="19"/>
        <v>Thu</v>
      </c>
      <c r="D1258" s="55"/>
      <c r="O1258" s="49"/>
    </row>
    <row r="1259" spans="1:15" hidden="1" x14ac:dyDescent="0.3">
      <c r="A1259" s="49"/>
      <c r="B1259" s="54">
        <v>47249</v>
      </c>
      <c r="C1259" s="55" t="str">
        <f t="shared" si="19"/>
        <v>Fri</v>
      </c>
      <c r="D1259" s="55"/>
      <c r="O1259" s="49"/>
    </row>
    <row r="1260" spans="1:15" hidden="1" x14ac:dyDescent="0.3">
      <c r="A1260" s="49"/>
      <c r="B1260" s="54">
        <v>47250</v>
      </c>
      <c r="C1260" s="55" t="str">
        <f t="shared" si="19"/>
        <v>Sat</v>
      </c>
      <c r="D1260" s="55"/>
      <c r="O1260" s="49"/>
    </row>
    <row r="1261" spans="1:15" hidden="1" x14ac:dyDescent="0.3">
      <c r="A1261" s="49"/>
      <c r="B1261" s="54">
        <v>47251</v>
      </c>
      <c r="C1261" s="55" t="str">
        <f t="shared" si="19"/>
        <v>Sun</v>
      </c>
      <c r="D1261" s="55"/>
      <c r="O1261" s="49"/>
    </row>
    <row r="1262" spans="1:15" hidden="1" x14ac:dyDescent="0.3">
      <c r="A1262" s="49"/>
      <c r="B1262" s="54">
        <v>47252</v>
      </c>
      <c r="C1262" s="55" t="str">
        <f t="shared" si="19"/>
        <v>Mon</v>
      </c>
      <c r="D1262" s="55"/>
      <c r="O1262" s="49"/>
    </row>
    <row r="1263" spans="1:15" hidden="1" x14ac:dyDescent="0.3">
      <c r="A1263" s="49"/>
      <c r="B1263" s="54">
        <v>47253</v>
      </c>
      <c r="C1263" s="55" t="str">
        <f t="shared" si="19"/>
        <v>Tue</v>
      </c>
      <c r="D1263" s="55"/>
      <c r="O1263" s="49"/>
    </row>
    <row r="1264" spans="1:15" hidden="1" x14ac:dyDescent="0.3">
      <c r="A1264" s="49"/>
      <c r="B1264" s="54">
        <v>47254</v>
      </c>
      <c r="C1264" s="55" t="str">
        <f t="shared" si="19"/>
        <v>Wed</v>
      </c>
      <c r="D1264" s="55"/>
      <c r="O1264" s="49"/>
    </row>
    <row r="1265" spans="1:15" hidden="1" x14ac:dyDescent="0.3">
      <c r="A1265" s="49"/>
      <c r="B1265" s="54">
        <v>47255</v>
      </c>
      <c r="C1265" s="55" t="str">
        <f t="shared" si="19"/>
        <v>Thu</v>
      </c>
      <c r="D1265" s="55"/>
      <c r="O1265" s="49"/>
    </row>
    <row r="1266" spans="1:15" hidden="1" x14ac:dyDescent="0.3">
      <c r="A1266" s="49"/>
      <c r="B1266" s="54">
        <v>47256</v>
      </c>
      <c r="C1266" s="55" t="str">
        <f t="shared" si="19"/>
        <v>Fri</v>
      </c>
      <c r="D1266" s="55"/>
      <c r="O1266" s="49"/>
    </row>
    <row r="1267" spans="1:15" hidden="1" x14ac:dyDescent="0.3">
      <c r="A1267" s="49"/>
      <c r="B1267" s="54">
        <v>47257</v>
      </c>
      <c r="C1267" s="55" t="str">
        <f t="shared" si="19"/>
        <v>Sat</v>
      </c>
      <c r="D1267" s="55"/>
      <c r="O1267" s="49"/>
    </row>
    <row r="1268" spans="1:15" hidden="1" x14ac:dyDescent="0.3">
      <c r="A1268" s="49"/>
      <c r="B1268" s="54">
        <v>47258</v>
      </c>
      <c r="C1268" s="55" t="str">
        <f t="shared" si="19"/>
        <v>Sun</v>
      </c>
      <c r="D1268" s="55"/>
      <c r="O1268" s="49"/>
    </row>
    <row r="1269" spans="1:15" hidden="1" x14ac:dyDescent="0.3">
      <c r="A1269" s="49"/>
      <c r="B1269" s="54">
        <v>47259</v>
      </c>
      <c r="C1269" s="55" t="str">
        <f t="shared" si="19"/>
        <v>Mon</v>
      </c>
      <c r="D1269" s="55"/>
      <c r="O1269" s="49"/>
    </row>
    <row r="1270" spans="1:15" hidden="1" x14ac:dyDescent="0.3">
      <c r="A1270" s="49"/>
      <c r="B1270" s="54">
        <v>47260</v>
      </c>
      <c r="C1270" s="55" t="str">
        <f t="shared" si="19"/>
        <v>Tue</v>
      </c>
      <c r="D1270" s="55"/>
      <c r="O1270" s="49"/>
    </row>
    <row r="1271" spans="1:15" hidden="1" x14ac:dyDescent="0.3">
      <c r="A1271" s="49"/>
      <c r="B1271" s="54">
        <v>47261</v>
      </c>
      <c r="C1271" s="55" t="str">
        <f t="shared" si="19"/>
        <v>Wed</v>
      </c>
      <c r="D1271" s="55"/>
      <c r="O1271" s="49"/>
    </row>
    <row r="1272" spans="1:15" hidden="1" x14ac:dyDescent="0.3">
      <c r="A1272" s="49"/>
      <c r="B1272" s="54">
        <v>47262</v>
      </c>
      <c r="C1272" s="55" t="str">
        <f t="shared" si="19"/>
        <v>Thu</v>
      </c>
      <c r="D1272" s="55"/>
      <c r="O1272" s="49"/>
    </row>
    <row r="1273" spans="1:15" hidden="1" x14ac:dyDescent="0.3">
      <c r="A1273" s="49"/>
      <c r="B1273" s="54">
        <v>47263</v>
      </c>
      <c r="C1273" s="55" t="str">
        <f t="shared" si="19"/>
        <v>Fri</v>
      </c>
      <c r="D1273" s="55"/>
      <c r="O1273" s="49"/>
    </row>
    <row r="1274" spans="1:15" hidden="1" x14ac:dyDescent="0.3">
      <c r="A1274" s="49"/>
      <c r="B1274" s="54">
        <v>47264</v>
      </c>
      <c r="C1274" s="55" t="str">
        <f t="shared" si="19"/>
        <v>Sat</v>
      </c>
      <c r="D1274" s="55"/>
      <c r="O1274" s="49"/>
    </row>
    <row r="1275" spans="1:15" hidden="1" x14ac:dyDescent="0.3">
      <c r="A1275" s="49"/>
      <c r="B1275" s="54">
        <v>47265</v>
      </c>
      <c r="C1275" s="55" t="str">
        <f t="shared" si="19"/>
        <v>Sun</v>
      </c>
      <c r="D1275" s="55"/>
      <c r="O1275" s="49"/>
    </row>
    <row r="1276" spans="1:15" hidden="1" x14ac:dyDescent="0.3">
      <c r="A1276" s="49"/>
      <c r="B1276" s="54">
        <v>47266</v>
      </c>
      <c r="C1276" s="55" t="str">
        <f t="shared" si="19"/>
        <v>Mon</v>
      </c>
      <c r="D1276" s="55"/>
      <c r="O1276" s="49"/>
    </row>
    <row r="1277" spans="1:15" hidden="1" x14ac:dyDescent="0.3">
      <c r="A1277" s="49"/>
      <c r="B1277" s="54">
        <v>47267</v>
      </c>
      <c r="C1277" s="55" t="str">
        <f t="shared" si="19"/>
        <v>Tue</v>
      </c>
      <c r="D1277" s="55"/>
      <c r="O1277" s="49"/>
    </row>
    <row r="1278" spans="1:15" hidden="1" x14ac:dyDescent="0.3">
      <c r="A1278" s="49"/>
      <c r="B1278" s="54">
        <v>47268</v>
      </c>
      <c r="C1278" s="55" t="str">
        <f t="shared" si="19"/>
        <v>Wed</v>
      </c>
      <c r="D1278" s="55"/>
      <c r="O1278" s="49"/>
    </row>
    <row r="1279" spans="1:15" hidden="1" x14ac:dyDescent="0.3">
      <c r="A1279" s="49"/>
      <c r="B1279" s="54">
        <v>47269</v>
      </c>
      <c r="C1279" s="55" t="str">
        <f t="shared" si="19"/>
        <v>Thu</v>
      </c>
      <c r="D1279" s="55"/>
      <c r="O1279" s="49"/>
    </row>
    <row r="1280" spans="1:15" hidden="1" x14ac:dyDescent="0.3">
      <c r="A1280" s="49"/>
      <c r="B1280" s="54">
        <v>47270</v>
      </c>
      <c r="C1280" s="55" t="str">
        <f t="shared" si="19"/>
        <v>Fri</v>
      </c>
      <c r="D1280" s="55"/>
      <c r="O1280" s="49"/>
    </row>
    <row r="1281" spans="1:15" hidden="1" x14ac:dyDescent="0.3">
      <c r="A1281" s="49"/>
      <c r="B1281" s="54">
        <v>47271</v>
      </c>
      <c r="C1281" s="55" t="str">
        <f t="shared" si="19"/>
        <v>Sat</v>
      </c>
      <c r="D1281" s="55"/>
      <c r="O1281" s="49"/>
    </row>
    <row r="1282" spans="1:15" hidden="1" x14ac:dyDescent="0.3">
      <c r="A1282" s="49"/>
      <c r="B1282" s="54">
        <v>47272</v>
      </c>
      <c r="C1282" s="55" t="str">
        <f t="shared" si="19"/>
        <v>Sun</v>
      </c>
      <c r="D1282" s="55"/>
      <c r="O1282" s="49"/>
    </row>
    <row r="1283" spans="1:15" hidden="1" x14ac:dyDescent="0.3">
      <c r="A1283" s="49"/>
      <c r="B1283" s="54">
        <v>47273</v>
      </c>
      <c r="C1283" s="55" t="str">
        <f t="shared" si="19"/>
        <v>Mon</v>
      </c>
      <c r="D1283" s="55"/>
      <c r="O1283" s="49"/>
    </row>
    <row r="1284" spans="1:15" hidden="1" x14ac:dyDescent="0.3">
      <c r="A1284" s="49"/>
      <c r="B1284" s="54">
        <v>47274</v>
      </c>
      <c r="C1284" s="55" t="str">
        <f t="shared" si="19"/>
        <v>Tue</v>
      </c>
      <c r="D1284" s="55"/>
      <c r="O1284" s="49"/>
    </row>
    <row r="1285" spans="1:15" hidden="1" x14ac:dyDescent="0.3">
      <c r="A1285" s="49"/>
      <c r="B1285" s="54">
        <v>47275</v>
      </c>
      <c r="C1285" s="55" t="str">
        <f t="shared" si="19"/>
        <v>Wed</v>
      </c>
      <c r="D1285" s="55"/>
      <c r="O1285" s="49"/>
    </row>
    <row r="1286" spans="1:15" hidden="1" x14ac:dyDescent="0.3">
      <c r="A1286" s="49"/>
      <c r="B1286" s="54">
        <v>47276</v>
      </c>
      <c r="C1286" s="55" t="str">
        <f t="shared" si="19"/>
        <v>Thu</v>
      </c>
      <c r="D1286" s="55"/>
      <c r="O1286" s="49"/>
    </row>
    <row r="1287" spans="1:15" hidden="1" x14ac:dyDescent="0.3">
      <c r="A1287" s="49"/>
      <c r="B1287" s="54">
        <v>47277</v>
      </c>
      <c r="C1287" s="55" t="str">
        <f t="shared" si="19"/>
        <v>Fri</v>
      </c>
      <c r="D1287" s="55"/>
      <c r="O1287" s="49"/>
    </row>
    <row r="1288" spans="1:15" hidden="1" x14ac:dyDescent="0.3">
      <c r="A1288" s="49"/>
      <c r="B1288" s="54">
        <v>47278</v>
      </c>
      <c r="C1288" s="55" t="str">
        <f t="shared" si="19"/>
        <v>Sat</v>
      </c>
      <c r="D1288" s="55"/>
      <c r="O1288" s="49"/>
    </row>
    <row r="1289" spans="1:15" hidden="1" x14ac:dyDescent="0.3">
      <c r="A1289" s="49"/>
      <c r="B1289" s="54">
        <v>47279</v>
      </c>
      <c r="C1289" s="55" t="str">
        <f t="shared" si="19"/>
        <v>Sun</v>
      </c>
      <c r="D1289" s="55"/>
      <c r="O1289" s="49"/>
    </row>
    <row r="1290" spans="1:15" hidden="1" x14ac:dyDescent="0.3">
      <c r="A1290" s="49"/>
      <c r="B1290" s="54">
        <v>47280</v>
      </c>
      <c r="C1290" s="55" t="str">
        <f t="shared" si="19"/>
        <v>Mon</v>
      </c>
      <c r="D1290" s="55"/>
      <c r="O1290" s="49"/>
    </row>
    <row r="1291" spans="1:15" hidden="1" x14ac:dyDescent="0.3">
      <c r="A1291" s="49"/>
      <c r="B1291" s="54">
        <v>47281</v>
      </c>
      <c r="C1291" s="55" t="str">
        <f t="shared" si="19"/>
        <v>Tue</v>
      </c>
      <c r="D1291" s="55"/>
      <c r="O1291" s="49"/>
    </row>
    <row r="1292" spans="1:15" hidden="1" x14ac:dyDescent="0.3">
      <c r="A1292" s="49"/>
      <c r="B1292" s="54">
        <v>47282</v>
      </c>
      <c r="C1292" s="55" t="str">
        <f t="shared" si="19"/>
        <v>Wed</v>
      </c>
      <c r="D1292" s="55"/>
      <c r="O1292" s="49"/>
    </row>
    <row r="1293" spans="1:15" hidden="1" x14ac:dyDescent="0.3">
      <c r="A1293" s="49"/>
      <c r="B1293" s="54">
        <v>47283</v>
      </c>
      <c r="C1293" s="55" t="str">
        <f t="shared" si="19"/>
        <v>Thu</v>
      </c>
      <c r="D1293" s="55"/>
      <c r="O1293" s="49"/>
    </row>
    <row r="1294" spans="1:15" hidden="1" x14ac:dyDescent="0.3">
      <c r="A1294" s="49"/>
      <c r="B1294" s="54">
        <v>47284</v>
      </c>
      <c r="C1294" s="55" t="str">
        <f t="shared" si="19"/>
        <v>Fri</v>
      </c>
      <c r="D1294" s="55"/>
      <c r="O1294" s="49"/>
    </row>
    <row r="1295" spans="1:15" hidden="1" x14ac:dyDescent="0.3">
      <c r="A1295" s="49"/>
      <c r="B1295" s="54">
        <v>47285</v>
      </c>
      <c r="C1295" s="55" t="str">
        <f t="shared" si="19"/>
        <v>Sat</v>
      </c>
      <c r="D1295" s="55"/>
      <c r="O1295" s="49"/>
    </row>
    <row r="1296" spans="1:15" hidden="1" x14ac:dyDescent="0.3">
      <c r="A1296" s="49"/>
      <c r="B1296" s="54">
        <v>47286</v>
      </c>
      <c r="C1296" s="55" t="str">
        <f t="shared" si="19"/>
        <v>Sun</v>
      </c>
      <c r="D1296" s="55"/>
      <c r="O1296" s="49"/>
    </row>
    <row r="1297" spans="1:15" hidden="1" x14ac:dyDescent="0.3">
      <c r="A1297" s="49"/>
      <c r="B1297" s="54">
        <v>47287</v>
      </c>
      <c r="C1297" s="55" t="str">
        <f t="shared" si="19"/>
        <v>Mon</v>
      </c>
      <c r="D1297" s="55"/>
      <c r="O1297" s="49"/>
    </row>
    <row r="1298" spans="1:15" hidden="1" x14ac:dyDescent="0.3">
      <c r="A1298" s="49"/>
      <c r="B1298" s="54">
        <v>47288</v>
      </c>
      <c r="C1298" s="55" t="str">
        <f t="shared" si="19"/>
        <v>Tue</v>
      </c>
      <c r="D1298" s="55"/>
      <c r="O1298" s="49"/>
    </row>
    <row r="1299" spans="1:15" hidden="1" x14ac:dyDescent="0.3">
      <c r="A1299" s="49"/>
      <c r="B1299" s="54">
        <v>47289</v>
      </c>
      <c r="C1299" s="55" t="str">
        <f t="shared" si="19"/>
        <v>Wed</v>
      </c>
      <c r="D1299" s="55"/>
      <c r="O1299" s="49"/>
    </row>
    <row r="1300" spans="1:15" hidden="1" x14ac:dyDescent="0.3">
      <c r="A1300" s="49"/>
      <c r="B1300" s="54">
        <v>47290</v>
      </c>
      <c r="C1300" s="55" t="str">
        <f t="shared" si="19"/>
        <v>Thu</v>
      </c>
      <c r="D1300" s="55"/>
      <c r="O1300" s="49"/>
    </row>
    <row r="1301" spans="1:15" hidden="1" x14ac:dyDescent="0.3">
      <c r="A1301" s="49"/>
      <c r="B1301" s="54">
        <v>47291</v>
      </c>
      <c r="C1301" s="55" t="str">
        <f t="shared" si="19"/>
        <v>Fri</v>
      </c>
      <c r="D1301" s="55"/>
      <c r="O1301" s="49"/>
    </row>
    <row r="1302" spans="1:15" hidden="1" x14ac:dyDescent="0.3">
      <c r="A1302" s="49"/>
      <c r="B1302" s="54">
        <v>47292</v>
      </c>
      <c r="C1302" s="55" t="str">
        <f t="shared" si="19"/>
        <v>Sat</v>
      </c>
      <c r="D1302" s="55"/>
      <c r="O1302" s="49"/>
    </row>
    <row r="1303" spans="1:15" hidden="1" x14ac:dyDescent="0.3">
      <c r="A1303" s="49"/>
      <c r="B1303" s="54">
        <v>47293</v>
      </c>
      <c r="C1303" s="55" t="str">
        <f t="shared" si="19"/>
        <v>Sun</v>
      </c>
      <c r="D1303" s="55"/>
      <c r="O1303" s="49"/>
    </row>
    <row r="1304" spans="1:15" hidden="1" x14ac:dyDescent="0.3">
      <c r="A1304" s="49"/>
      <c r="B1304" s="54">
        <v>47294</v>
      </c>
      <c r="C1304" s="55" t="str">
        <f t="shared" si="19"/>
        <v>Mon</v>
      </c>
      <c r="D1304" s="55"/>
      <c r="O1304" s="49"/>
    </row>
    <row r="1305" spans="1:15" hidden="1" x14ac:dyDescent="0.3">
      <c r="A1305" s="49"/>
      <c r="B1305" s="54">
        <v>47295</v>
      </c>
      <c r="C1305" s="55" t="str">
        <f t="shared" si="19"/>
        <v>Tue</v>
      </c>
      <c r="D1305" s="55"/>
      <c r="O1305" s="49"/>
    </row>
    <row r="1306" spans="1:15" hidden="1" x14ac:dyDescent="0.3">
      <c r="A1306" s="49"/>
      <c r="B1306" s="54">
        <v>47296</v>
      </c>
      <c r="C1306" s="55" t="str">
        <f t="shared" si="19"/>
        <v>Wed</v>
      </c>
      <c r="D1306" s="55"/>
      <c r="O1306" s="49"/>
    </row>
    <row r="1307" spans="1:15" hidden="1" x14ac:dyDescent="0.3">
      <c r="A1307" s="49"/>
      <c r="B1307" s="54">
        <v>47297</v>
      </c>
      <c r="C1307" s="55" t="str">
        <f t="shared" si="19"/>
        <v>Thu</v>
      </c>
      <c r="D1307" s="55"/>
      <c r="O1307" s="49"/>
    </row>
    <row r="1308" spans="1:15" hidden="1" x14ac:dyDescent="0.3">
      <c r="A1308" s="49"/>
      <c r="B1308" s="54">
        <v>47298</v>
      </c>
      <c r="C1308" s="55" t="str">
        <f t="shared" si="19"/>
        <v>Fri</v>
      </c>
      <c r="D1308" s="55"/>
      <c r="O1308" s="49"/>
    </row>
    <row r="1309" spans="1:15" hidden="1" x14ac:dyDescent="0.3">
      <c r="A1309" s="49"/>
      <c r="B1309" s="54">
        <v>47299</v>
      </c>
      <c r="C1309" s="55" t="str">
        <f t="shared" si="19"/>
        <v>Sat</v>
      </c>
      <c r="D1309" s="55"/>
      <c r="O1309" s="49"/>
    </row>
    <row r="1310" spans="1:15" hidden="1" x14ac:dyDescent="0.3">
      <c r="A1310" s="49"/>
      <c r="B1310" s="54">
        <v>47300</v>
      </c>
      <c r="C1310" s="55" t="str">
        <f t="shared" si="19"/>
        <v>Sun</v>
      </c>
      <c r="D1310" s="55"/>
      <c r="O1310" s="49"/>
    </row>
    <row r="1311" spans="1:15" hidden="1" x14ac:dyDescent="0.3">
      <c r="A1311" s="49"/>
      <c r="B1311" s="54">
        <v>47301</v>
      </c>
      <c r="C1311" s="55" t="str">
        <f t="shared" si="19"/>
        <v>Mon</v>
      </c>
      <c r="D1311" s="55"/>
      <c r="O1311" s="49"/>
    </row>
    <row r="1312" spans="1:15" hidden="1" x14ac:dyDescent="0.3">
      <c r="A1312" s="49"/>
      <c r="B1312" s="54">
        <v>47302</v>
      </c>
      <c r="C1312" s="55" t="str">
        <f t="shared" si="19"/>
        <v>Tue</v>
      </c>
      <c r="D1312" s="55"/>
      <c r="O1312" s="49"/>
    </row>
    <row r="1313" spans="1:15" hidden="1" x14ac:dyDescent="0.3">
      <c r="A1313" s="49"/>
      <c r="B1313" s="54">
        <v>47303</v>
      </c>
      <c r="C1313" s="55" t="str">
        <f t="shared" si="19"/>
        <v>Wed</v>
      </c>
      <c r="D1313" s="55"/>
      <c r="O1313" s="49"/>
    </row>
    <row r="1314" spans="1:15" hidden="1" x14ac:dyDescent="0.3">
      <c r="A1314" s="49"/>
      <c r="B1314" s="54">
        <v>47304</v>
      </c>
      <c r="C1314" s="55" t="str">
        <f t="shared" ref="C1314:C1377" si="20">TEXT(B1314,"ddd")</f>
        <v>Thu</v>
      </c>
      <c r="D1314" s="55"/>
      <c r="O1314" s="49"/>
    </row>
    <row r="1315" spans="1:15" hidden="1" x14ac:dyDescent="0.3">
      <c r="A1315" s="49"/>
      <c r="B1315" s="54">
        <v>47305</v>
      </c>
      <c r="C1315" s="55" t="str">
        <f t="shared" si="20"/>
        <v>Fri</v>
      </c>
      <c r="D1315" s="55"/>
      <c r="O1315" s="49"/>
    </row>
    <row r="1316" spans="1:15" hidden="1" x14ac:dyDescent="0.3">
      <c r="A1316" s="49"/>
      <c r="B1316" s="54">
        <v>47306</v>
      </c>
      <c r="C1316" s="55" t="str">
        <f t="shared" si="20"/>
        <v>Sat</v>
      </c>
      <c r="D1316" s="55"/>
      <c r="O1316" s="49"/>
    </row>
    <row r="1317" spans="1:15" hidden="1" x14ac:dyDescent="0.3">
      <c r="A1317" s="49"/>
      <c r="B1317" s="54">
        <v>47307</v>
      </c>
      <c r="C1317" s="55" t="str">
        <f t="shared" si="20"/>
        <v>Sun</v>
      </c>
      <c r="D1317" s="55"/>
      <c r="O1317" s="49"/>
    </row>
    <row r="1318" spans="1:15" hidden="1" x14ac:dyDescent="0.3">
      <c r="A1318" s="49"/>
      <c r="B1318" s="54">
        <v>47308</v>
      </c>
      <c r="C1318" s="55" t="str">
        <f t="shared" si="20"/>
        <v>Mon</v>
      </c>
      <c r="D1318" s="55"/>
      <c r="O1318" s="49"/>
    </row>
    <row r="1319" spans="1:15" hidden="1" x14ac:dyDescent="0.3">
      <c r="A1319" s="49"/>
      <c r="B1319" s="54">
        <v>47309</v>
      </c>
      <c r="C1319" s="55" t="str">
        <f t="shared" si="20"/>
        <v>Tue</v>
      </c>
      <c r="D1319" s="55"/>
      <c r="O1319" s="49"/>
    </row>
    <row r="1320" spans="1:15" hidden="1" x14ac:dyDescent="0.3">
      <c r="A1320" s="49"/>
      <c r="B1320" s="54">
        <v>47310</v>
      </c>
      <c r="C1320" s="55" t="str">
        <f t="shared" si="20"/>
        <v>Wed</v>
      </c>
      <c r="D1320" s="55"/>
      <c r="O1320" s="49"/>
    </row>
    <row r="1321" spans="1:15" hidden="1" x14ac:dyDescent="0.3">
      <c r="A1321" s="49"/>
      <c r="B1321" s="54">
        <v>47311</v>
      </c>
      <c r="C1321" s="55" t="str">
        <f t="shared" si="20"/>
        <v>Thu</v>
      </c>
      <c r="D1321" s="55"/>
      <c r="O1321" s="49"/>
    </row>
    <row r="1322" spans="1:15" hidden="1" x14ac:dyDescent="0.3">
      <c r="A1322" s="49"/>
      <c r="B1322" s="54">
        <v>47312</v>
      </c>
      <c r="C1322" s="55" t="str">
        <f t="shared" si="20"/>
        <v>Fri</v>
      </c>
      <c r="D1322" s="55"/>
      <c r="O1322" s="49"/>
    </row>
    <row r="1323" spans="1:15" hidden="1" x14ac:dyDescent="0.3">
      <c r="A1323" s="49"/>
      <c r="B1323" s="54">
        <v>47313</v>
      </c>
      <c r="C1323" s="55" t="str">
        <f t="shared" si="20"/>
        <v>Sat</v>
      </c>
      <c r="D1323" s="55"/>
      <c r="O1323" s="49"/>
    </row>
    <row r="1324" spans="1:15" hidden="1" x14ac:dyDescent="0.3">
      <c r="A1324" s="49"/>
      <c r="B1324" s="54">
        <v>47314</v>
      </c>
      <c r="C1324" s="55" t="str">
        <f t="shared" si="20"/>
        <v>Sun</v>
      </c>
      <c r="D1324" s="55"/>
      <c r="O1324" s="49"/>
    </row>
    <row r="1325" spans="1:15" hidden="1" x14ac:dyDescent="0.3">
      <c r="A1325" s="49"/>
      <c r="B1325" s="54">
        <v>47315</v>
      </c>
      <c r="C1325" s="55" t="str">
        <f t="shared" si="20"/>
        <v>Mon</v>
      </c>
      <c r="D1325" s="55"/>
      <c r="O1325" s="49"/>
    </row>
    <row r="1326" spans="1:15" hidden="1" x14ac:dyDescent="0.3">
      <c r="A1326" s="49"/>
      <c r="B1326" s="54">
        <v>47316</v>
      </c>
      <c r="C1326" s="55" t="str">
        <f t="shared" si="20"/>
        <v>Tue</v>
      </c>
      <c r="D1326" s="55"/>
      <c r="O1326" s="49"/>
    </row>
    <row r="1327" spans="1:15" hidden="1" x14ac:dyDescent="0.3">
      <c r="A1327" s="49"/>
      <c r="B1327" s="54">
        <v>47317</v>
      </c>
      <c r="C1327" s="55" t="str">
        <f t="shared" si="20"/>
        <v>Wed</v>
      </c>
      <c r="D1327" s="55"/>
      <c r="O1327" s="49"/>
    </row>
    <row r="1328" spans="1:15" hidden="1" x14ac:dyDescent="0.3">
      <c r="A1328" s="49"/>
      <c r="B1328" s="54">
        <v>47318</v>
      </c>
      <c r="C1328" s="55" t="str">
        <f t="shared" si="20"/>
        <v>Thu</v>
      </c>
      <c r="D1328" s="55"/>
      <c r="O1328" s="49"/>
    </row>
    <row r="1329" spans="1:15" hidden="1" x14ac:dyDescent="0.3">
      <c r="A1329" s="49"/>
      <c r="B1329" s="54">
        <v>47319</v>
      </c>
      <c r="C1329" s="55" t="str">
        <f t="shared" si="20"/>
        <v>Fri</v>
      </c>
      <c r="D1329" s="55"/>
      <c r="O1329" s="49"/>
    </row>
    <row r="1330" spans="1:15" hidden="1" x14ac:dyDescent="0.3">
      <c r="A1330" s="49"/>
      <c r="B1330" s="54">
        <v>47320</v>
      </c>
      <c r="C1330" s="55" t="str">
        <f t="shared" si="20"/>
        <v>Sat</v>
      </c>
      <c r="D1330" s="55"/>
      <c r="O1330" s="49"/>
    </row>
    <row r="1331" spans="1:15" hidden="1" x14ac:dyDescent="0.3">
      <c r="A1331" s="49"/>
      <c r="B1331" s="54">
        <v>47321</v>
      </c>
      <c r="C1331" s="55" t="str">
        <f t="shared" si="20"/>
        <v>Sun</v>
      </c>
      <c r="D1331" s="55"/>
      <c r="O1331" s="49"/>
    </row>
    <row r="1332" spans="1:15" hidden="1" x14ac:dyDescent="0.3">
      <c r="A1332" s="49"/>
      <c r="B1332" s="54">
        <v>47322</v>
      </c>
      <c r="C1332" s="55" t="str">
        <f t="shared" si="20"/>
        <v>Mon</v>
      </c>
      <c r="D1332" s="55"/>
      <c r="O1332" s="49"/>
    </row>
    <row r="1333" spans="1:15" hidden="1" x14ac:dyDescent="0.3">
      <c r="A1333" s="49"/>
      <c r="B1333" s="54">
        <v>47323</v>
      </c>
      <c r="C1333" s="55" t="str">
        <f t="shared" si="20"/>
        <v>Tue</v>
      </c>
      <c r="D1333" s="55"/>
      <c r="O1333" s="49"/>
    </row>
    <row r="1334" spans="1:15" hidden="1" x14ac:dyDescent="0.3">
      <c r="A1334" s="49"/>
      <c r="B1334" s="54">
        <v>47324</v>
      </c>
      <c r="C1334" s="55" t="str">
        <f t="shared" si="20"/>
        <v>Wed</v>
      </c>
      <c r="D1334" s="55"/>
      <c r="O1334" s="49"/>
    </row>
    <row r="1335" spans="1:15" hidden="1" x14ac:dyDescent="0.3">
      <c r="A1335" s="49"/>
      <c r="B1335" s="54">
        <v>47325</v>
      </c>
      <c r="C1335" s="55" t="str">
        <f t="shared" si="20"/>
        <v>Thu</v>
      </c>
      <c r="D1335" s="55"/>
      <c r="O1335" s="49"/>
    </row>
    <row r="1336" spans="1:15" hidden="1" x14ac:dyDescent="0.3">
      <c r="A1336" s="49"/>
      <c r="B1336" s="54">
        <v>47326</v>
      </c>
      <c r="C1336" s="55" t="str">
        <f t="shared" si="20"/>
        <v>Fri</v>
      </c>
      <c r="D1336" s="55"/>
      <c r="O1336" s="49"/>
    </row>
    <row r="1337" spans="1:15" hidden="1" x14ac:dyDescent="0.3">
      <c r="A1337" s="49"/>
      <c r="B1337" s="54">
        <v>47327</v>
      </c>
      <c r="C1337" s="55" t="str">
        <f t="shared" si="20"/>
        <v>Sat</v>
      </c>
      <c r="D1337" s="55"/>
      <c r="O1337" s="49"/>
    </row>
    <row r="1338" spans="1:15" hidden="1" x14ac:dyDescent="0.3">
      <c r="A1338" s="49"/>
      <c r="B1338" s="54">
        <v>47328</v>
      </c>
      <c r="C1338" s="55" t="str">
        <f t="shared" si="20"/>
        <v>Sun</v>
      </c>
      <c r="D1338" s="55"/>
      <c r="O1338" s="49"/>
    </row>
    <row r="1339" spans="1:15" hidden="1" x14ac:dyDescent="0.3">
      <c r="A1339" s="49"/>
      <c r="B1339" s="54">
        <v>47329</v>
      </c>
      <c r="C1339" s="55" t="str">
        <f t="shared" si="20"/>
        <v>Mon</v>
      </c>
      <c r="D1339" s="55"/>
      <c r="O1339" s="49"/>
    </row>
    <row r="1340" spans="1:15" hidden="1" x14ac:dyDescent="0.3">
      <c r="A1340" s="49"/>
      <c r="B1340" s="54">
        <v>47330</v>
      </c>
      <c r="C1340" s="55" t="str">
        <f t="shared" si="20"/>
        <v>Tue</v>
      </c>
      <c r="D1340" s="55"/>
      <c r="O1340" s="49"/>
    </row>
    <row r="1341" spans="1:15" hidden="1" x14ac:dyDescent="0.3">
      <c r="A1341" s="49"/>
      <c r="B1341" s="54">
        <v>47331</v>
      </c>
      <c r="C1341" s="55" t="str">
        <f t="shared" si="20"/>
        <v>Wed</v>
      </c>
      <c r="D1341" s="55"/>
      <c r="O1341" s="49"/>
    </row>
    <row r="1342" spans="1:15" hidden="1" x14ac:dyDescent="0.3">
      <c r="A1342" s="49"/>
      <c r="B1342" s="54">
        <v>47332</v>
      </c>
      <c r="C1342" s="55" t="str">
        <f t="shared" si="20"/>
        <v>Thu</v>
      </c>
      <c r="D1342" s="55"/>
      <c r="O1342" s="49"/>
    </row>
    <row r="1343" spans="1:15" hidden="1" x14ac:dyDescent="0.3">
      <c r="A1343" s="49"/>
      <c r="B1343" s="54">
        <v>47333</v>
      </c>
      <c r="C1343" s="55" t="str">
        <f t="shared" si="20"/>
        <v>Fri</v>
      </c>
      <c r="D1343" s="55"/>
      <c r="O1343" s="49"/>
    </row>
    <row r="1344" spans="1:15" hidden="1" x14ac:dyDescent="0.3">
      <c r="A1344" s="49"/>
      <c r="B1344" s="54">
        <v>47334</v>
      </c>
      <c r="C1344" s="55" t="str">
        <f t="shared" si="20"/>
        <v>Sat</v>
      </c>
      <c r="D1344" s="55"/>
      <c r="O1344" s="49"/>
    </row>
    <row r="1345" spans="1:15" hidden="1" x14ac:dyDescent="0.3">
      <c r="A1345" s="49"/>
      <c r="B1345" s="54">
        <v>47335</v>
      </c>
      <c r="C1345" s="55" t="str">
        <f t="shared" si="20"/>
        <v>Sun</v>
      </c>
      <c r="D1345" s="55"/>
      <c r="O1345" s="49"/>
    </row>
    <row r="1346" spans="1:15" hidden="1" x14ac:dyDescent="0.3">
      <c r="A1346" s="49"/>
      <c r="B1346" s="54">
        <v>47336</v>
      </c>
      <c r="C1346" s="55" t="str">
        <f t="shared" si="20"/>
        <v>Mon</v>
      </c>
      <c r="D1346" s="55"/>
      <c r="O1346" s="49"/>
    </row>
    <row r="1347" spans="1:15" hidden="1" x14ac:dyDescent="0.3">
      <c r="A1347" s="49"/>
      <c r="B1347" s="54">
        <v>47337</v>
      </c>
      <c r="C1347" s="55" t="str">
        <f t="shared" si="20"/>
        <v>Tue</v>
      </c>
      <c r="D1347" s="55"/>
      <c r="O1347" s="49"/>
    </row>
    <row r="1348" spans="1:15" hidden="1" x14ac:dyDescent="0.3">
      <c r="A1348" s="49"/>
      <c r="B1348" s="54">
        <v>47338</v>
      </c>
      <c r="C1348" s="55" t="str">
        <f t="shared" si="20"/>
        <v>Wed</v>
      </c>
      <c r="D1348" s="55"/>
      <c r="O1348" s="49"/>
    </row>
    <row r="1349" spans="1:15" hidden="1" x14ac:dyDescent="0.3">
      <c r="A1349" s="49"/>
      <c r="B1349" s="54">
        <v>47339</v>
      </c>
      <c r="C1349" s="55" t="str">
        <f t="shared" si="20"/>
        <v>Thu</v>
      </c>
      <c r="D1349" s="55"/>
      <c r="O1349" s="49"/>
    </row>
    <row r="1350" spans="1:15" hidden="1" x14ac:dyDescent="0.3">
      <c r="A1350" s="49"/>
      <c r="B1350" s="54">
        <v>47340</v>
      </c>
      <c r="C1350" s="55" t="str">
        <f t="shared" si="20"/>
        <v>Fri</v>
      </c>
      <c r="D1350" s="55"/>
      <c r="O1350" s="49"/>
    </row>
    <row r="1351" spans="1:15" hidden="1" x14ac:dyDescent="0.3">
      <c r="A1351" s="49"/>
      <c r="B1351" s="54">
        <v>47341</v>
      </c>
      <c r="C1351" s="55" t="str">
        <f t="shared" si="20"/>
        <v>Sat</v>
      </c>
      <c r="D1351" s="55"/>
      <c r="O1351" s="49"/>
    </row>
    <row r="1352" spans="1:15" hidden="1" x14ac:dyDescent="0.3">
      <c r="A1352" s="49"/>
      <c r="B1352" s="54">
        <v>47342</v>
      </c>
      <c r="C1352" s="55" t="str">
        <f t="shared" si="20"/>
        <v>Sun</v>
      </c>
      <c r="D1352" s="55"/>
      <c r="O1352" s="49"/>
    </row>
    <row r="1353" spans="1:15" hidden="1" x14ac:dyDescent="0.3">
      <c r="A1353" s="49"/>
      <c r="B1353" s="54">
        <v>47343</v>
      </c>
      <c r="C1353" s="55" t="str">
        <f t="shared" si="20"/>
        <v>Mon</v>
      </c>
      <c r="D1353" s="55"/>
      <c r="O1353" s="49"/>
    </row>
    <row r="1354" spans="1:15" hidden="1" x14ac:dyDescent="0.3">
      <c r="A1354" s="49"/>
      <c r="B1354" s="54">
        <v>47344</v>
      </c>
      <c r="C1354" s="55" t="str">
        <f t="shared" si="20"/>
        <v>Tue</v>
      </c>
      <c r="D1354" s="55"/>
      <c r="O1354" s="49"/>
    </row>
    <row r="1355" spans="1:15" hidden="1" x14ac:dyDescent="0.3">
      <c r="A1355" s="49"/>
      <c r="B1355" s="54">
        <v>47345</v>
      </c>
      <c r="C1355" s="55" t="str">
        <f t="shared" si="20"/>
        <v>Wed</v>
      </c>
      <c r="D1355" s="55"/>
      <c r="O1355" s="49"/>
    </row>
    <row r="1356" spans="1:15" hidden="1" x14ac:dyDescent="0.3">
      <c r="A1356" s="49"/>
      <c r="B1356" s="54">
        <v>47346</v>
      </c>
      <c r="C1356" s="55" t="str">
        <f t="shared" si="20"/>
        <v>Thu</v>
      </c>
      <c r="D1356" s="55"/>
      <c r="O1356" s="49"/>
    </row>
    <row r="1357" spans="1:15" hidden="1" x14ac:dyDescent="0.3">
      <c r="A1357" s="49"/>
      <c r="B1357" s="54">
        <v>47347</v>
      </c>
      <c r="C1357" s="55" t="str">
        <f t="shared" si="20"/>
        <v>Fri</v>
      </c>
      <c r="D1357" s="55"/>
      <c r="O1357" s="49"/>
    </row>
    <row r="1358" spans="1:15" hidden="1" x14ac:dyDescent="0.3">
      <c r="A1358" s="49"/>
      <c r="B1358" s="54">
        <v>47348</v>
      </c>
      <c r="C1358" s="55" t="str">
        <f t="shared" si="20"/>
        <v>Sat</v>
      </c>
      <c r="D1358" s="55"/>
      <c r="O1358" s="49"/>
    </row>
    <row r="1359" spans="1:15" hidden="1" x14ac:dyDescent="0.3">
      <c r="A1359" s="49"/>
      <c r="B1359" s="54">
        <v>47349</v>
      </c>
      <c r="C1359" s="55" t="str">
        <f t="shared" si="20"/>
        <v>Sun</v>
      </c>
      <c r="D1359" s="55"/>
      <c r="O1359" s="49"/>
    </row>
    <row r="1360" spans="1:15" hidden="1" x14ac:dyDescent="0.3">
      <c r="A1360" s="49"/>
      <c r="B1360" s="54">
        <v>47350</v>
      </c>
      <c r="C1360" s="55" t="str">
        <f t="shared" si="20"/>
        <v>Mon</v>
      </c>
      <c r="D1360" s="55"/>
      <c r="O1360" s="49"/>
    </row>
    <row r="1361" spans="1:15" hidden="1" x14ac:dyDescent="0.3">
      <c r="A1361" s="49"/>
      <c r="B1361" s="54">
        <v>47351</v>
      </c>
      <c r="C1361" s="55" t="str">
        <f t="shared" si="20"/>
        <v>Tue</v>
      </c>
      <c r="D1361" s="55"/>
      <c r="O1361" s="49"/>
    </row>
    <row r="1362" spans="1:15" hidden="1" x14ac:dyDescent="0.3">
      <c r="A1362" s="49"/>
      <c r="B1362" s="54">
        <v>47352</v>
      </c>
      <c r="C1362" s="55" t="str">
        <f t="shared" si="20"/>
        <v>Wed</v>
      </c>
      <c r="D1362" s="55"/>
      <c r="O1362" s="49"/>
    </row>
    <row r="1363" spans="1:15" hidden="1" x14ac:dyDescent="0.3">
      <c r="A1363" s="49"/>
      <c r="B1363" s="54">
        <v>47353</v>
      </c>
      <c r="C1363" s="55" t="str">
        <f t="shared" si="20"/>
        <v>Thu</v>
      </c>
      <c r="D1363" s="55"/>
      <c r="O1363" s="49"/>
    </row>
    <row r="1364" spans="1:15" hidden="1" x14ac:dyDescent="0.3">
      <c r="A1364" s="49"/>
      <c r="B1364" s="54">
        <v>47354</v>
      </c>
      <c r="C1364" s="55" t="str">
        <f t="shared" si="20"/>
        <v>Fri</v>
      </c>
      <c r="D1364" s="55"/>
      <c r="O1364" s="49"/>
    </row>
    <row r="1365" spans="1:15" hidden="1" x14ac:dyDescent="0.3">
      <c r="A1365" s="49"/>
      <c r="B1365" s="54">
        <v>47355</v>
      </c>
      <c r="C1365" s="55" t="str">
        <f t="shared" si="20"/>
        <v>Sat</v>
      </c>
      <c r="D1365" s="55"/>
      <c r="O1365" s="49"/>
    </row>
    <row r="1366" spans="1:15" hidden="1" x14ac:dyDescent="0.3">
      <c r="A1366" s="49"/>
      <c r="B1366" s="54">
        <v>47356</v>
      </c>
      <c r="C1366" s="55" t="str">
        <f t="shared" si="20"/>
        <v>Sun</v>
      </c>
      <c r="D1366" s="55"/>
      <c r="O1366" s="49"/>
    </row>
    <row r="1367" spans="1:15" hidden="1" x14ac:dyDescent="0.3">
      <c r="A1367" s="49"/>
      <c r="B1367" s="54">
        <v>47357</v>
      </c>
      <c r="C1367" s="55" t="str">
        <f t="shared" si="20"/>
        <v>Mon</v>
      </c>
      <c r="D1367" s="55"/>
      <c r="O1367" s="49"/>
    </row>
    <row r="1368" spans="1:15" hidden="1" x14ac:dyDescent="0.3">
      <c r="A1368" s="49"/>
      <c r="B1368" s="54">
        <v>47358</v>
      </c>
      <c r="C1368" s="55" t="str">
        <f t="shared" si="20"/>
        <v>Tue</v>
      </c>
      <c r="D1368" s="55"/>
      <c r="O1368" s="49"/>
    </row>
    <row r="1369" spans="1:15" hidden="1" x14ac:dyDescent="0.3">
      <c r="A1369" s="49"/>
      <c r="B1369" s="54">
        <v>47359</v>
      </c>
      <c r="C1369" s="55" t="str">
        <f t="shared" si="20"/>
        <v>Wed</v>
      </c>
      <c r="D1369" s="55"/>
      <c r="O1369" s="49"/>
    </row>
    <row r="1370" spans="1:15" hidden="1" x14ac:dyDescent="0.3">
      <c r="A1370" s="49"/>
      <c r="B1370" s="54">
        <v>47360</v>
      </c>
      <c r="C1370" s="55" t="str">
        <f t="shared" si="20"/>
        <v>Thu</v>
      </c>
      <c r="D1370" s="55"/>
      <c r="O1370" s="49"/>
    </row>
    <row r="1371" spans="1:15" hidden="1" x14ac:dyDescent="0.3">
      <c r="A1371" s="49"/>
      <c r="B1371" s="54">
        <v>47361</v>
      </c>
      <c r="C1371" s="55" t="str">
        <f t="shared" si="20"/>
        <v>Fri</v>
      </c>
      <c r="D1371" s="55"/>
      <c r="O1371" s="49"/>
    </row>
    <row r="1372" spans="1:15" hidden="1" x14ac:dyDescent="0.3">
      <c r="A1372" s="49"/>
      <c r="B1372" s="54">
        <v>47362</v>
      </c>
      <c r="C1372" s="55" t="str">
        <f t="shared" si="20"/>
        <v>Sat</v>
      </c>
      <c r="D1372" s="55"/>
      <c r="O1372" s="49"/>
    </row>
    <row r="1373" spans="1:15" hidden="1" x14ac:dyDescent="0.3">
      <c r="A1373" s="49"/>
      <c r="B1373" s="54">
        <v>47363</v>
      </c>
      <c r="C1373" s="55" t="str">
        <f t="shared" si="20"/>
        <v>Sun</v>
      </c>
      <c r="D1373" s="55"/>
      <c r="O1373" s="49"/>
    </row>
    <row r="1374" spans="1:15" hidden="1" x14ac:dyDescent="0.3">
      <c r="A1374" s="49"/>
      <c r="B1374" s="54">
        <v>47364</v>
      </c>
      <c r="C1374" s="55" t="str">
        <f t="shared" si="20"/>
        <v>Mon</v>
      </c>
      <c r="D1374" s="55"/>
      <c r="O1374" s="49"/>
    </row>
    <row r="1375" spans="1:15" hidden="1" x14ac:dyDescent="0.3">
      <c r="A1375" s="49"/>
      <c r="B1375" s="54">
        <v>47365</v>
      </c>
      <c r="C1375" s="55" t="str">
        <f t="shared" si="20"/>
        <v>Tue</v>
      </c>
      <c r="D1375" s="55"/>
      <c r="O1375" s="49"/>
    </row>
    <row r="1376" spans="1:15" hidden="1" x14ac:dyDescent="0.3">
      <c r="A1376" s="49"/>
      <c r="B1376" s="54">
        <v>47366</v>
      </c>
      <c r="C1376" s="55" t="str">
        <f t="shared" si="20"/>
        <v>Wed</v>
      </c>
      <c r="D1376" s="55"/>
      <c r="O1376" s="49"/>
    </row>
    <row r="1377" spans="1:15" hidden="1" x14ac:dyDescent="0.3">
      <c r="A1377" s="49"/>
      <c r="B1377" s="54">
        <v>47367</v>
      </c>
      <c r="C1377" s="55" t="str">
        <f t="shared" si="20"/>
        <v>Thu</v>
      </c>
      <c r="D1377" s="55"/>
      <c r="O1377" s="49"/>
    </row>
    <row r="1378" spans="1:15" hidden="1" x14ac:dyDescent="0.3">
      <c r="A1378" s="49"/>
      <c r="B1378" s="54">
        <v>47368</v>
      </c>
      <c r="C1378" s="55" t="str">
        <f t="shared" ref="C1378:C1441" si="21">TEXT(B1378,"ddd")</f>
        <v>Fri</v>
      </c>
      <c r="D1378" s="55"/>
      <c r="O1378" s="49"/>
    </row>
    <row r="1379" spans="1:15" hidden="1" x14ac:dyDescent="0.3">
      <c r="A1379" s="49"/>
      <c r="B1379" s="54">
        <v>47369</v>
      </c>
      <c r="C1379" s="55" t="str">
        <f t="shared" si="21"/>
        <v>Sat</v>
      </c>
      <c r="D1379" s="55"/>
      <c r="O1379" s="49"/>
    </row>
    <row r="1380" spans="1:15" hidden="1" x14ac:dyDescent="0.3">
      <c r="A1380" s="49"/>
      <c r="B1380" s="54">
        <v>47370</v>
      </c>
      <c r="C1380" s="55" t="str">
        <f t="shared" si="21"/>
        <v>Sun</v>
      </c>
      <c r="D1380" s="55"/>
      <c r="O1380" s="49"/>
    </row>
    <row r="1381" spans="1:15" hidden="1" x14ac:dyDescent="0.3">
      <c r="A1381" s="49"/>
      <c r="B1381" s="54">
        <v>47371</v>
      </c>
      <c r="C1381" s="55" t="str">
        <f t="shared" si="21"/>
        <v>Mon</v>
      </c>
      <c r="D1381" s="55"/>
      <c r="O1381" s="49"/>
    </row>
    <row r="1382" spans="1:15" hidden="1" x14ac:dyDescent="0.3">
      <c r="A1382" s="49"/>
      <c r="B1382" s="54">
        <v>47372</v>
      </c>
      <c r="C1382" s="55" t="str">
        <f t="shared" si="21"/>
        <v>Tue</v>
      </c>
      <c r="D1382" s="55"/>
      <c r="O1382" s="49"/>
    </row>
    <row r="1383" spans="1:15" hidden="1" x14ac:dyDescent="0.3">
      <c r="A1383" s="49"/>
      <c r="B1383" s="54">
        <v>47373</v>
      </c>
      <c r="C1383" s="55" t="str">
        <f t="shared" si="21"/>
        <v>Wed</v>
      </c>
      <c r="D1383" s="55"/>
      <c r="O1383" s="49"/>
    </row>
    <row r="1384" spans="1:15" hidden="1" x14ac:dyDescent="0.3">
      <c r="A1384" s="49"/>
      <c r="B1384" s="54">
        <v>47374</v>
      </c>
      <c r="C1384" s="55" t="str">
        <f t="shared" si="21"/>
        <v>Thu</v>
      </c>
      <c r="D1384" s="55"/>
      <c r="O1384" s="49"/>
    </row>
    <row r="1385" spans="1:15" hidden="1" x14ac:dyDescent="0.3">
      <c r="A1385" s="49"/>
      <c r="B1385" s="54">
        <v>47375</v>
      </c>
      <c r="C1385" s="55" t="str">
        <f t="shared" si="21"/>
        <v>Fri</v>
      </c>
      <c r="D1385" s="55"/>
      <c r="O1385" s="49"/>
    </row>
    <row r="1386" spans="1:15" hidden="1" x14ac:dyDescent="0.3">
      <c r="A1386" s="49"/>
      <c r="B1386" s="54">
        <v>47376</v>
      </c>
      <c r="C1386" s="55" t="str">
        <f t="shared" si="21"/>
        <v>Sat</v>
      </c>
      <c r="D1386" s="55"/>
      <c r="O1386" s="49"/>
    </row>
    <row r="1387" spans="1:15" hidden="1" x14ac:dyDescent="0.3">
      <c r="A1387" s="49"/>
      <c r="B1387" s="54">
        <v>47377</v>
      </c>
      <c r="C1387" s="55" t="str">
        <f t="shared" si="21"/>
        <v>Sun</v>
      </c>
      <c r="D1387" s="55"/>
      <c r="O1387" s="49"/>
    </row>
    <row r="1388" spans="1:15" hidden="1" x14ac:dyDescent="0.3">
      <c r="A1388" s="49"/>
      <c r="B1388" s="54">
        <v>47378</v>
      </c>
      <c r="C1388" s="55" t="str">
        <f t="shared" si="21"/>
        <v>Mon</v>
      </c>
      <c r="D1388" s="55"/>
      <c r="O1388" s="49"/>
    </row>
    <row r="1389" spans="1:15" hidden="1" x14ac:dyDescent="0.3">
      <c r="A1389" s="49"/>
      <c r="B1389" s="54">
        <v>47379</v>
      </c>
      <c r="C1389" s="55" t="str">
        <f t="shared" si="21"/>
        <v>Tue</v>
      </c>
      <c r="D1389" s="55"/>
      <c r="O1389" s="49"/>
    </row>
    <row r="1390" spans="1:15" hidden="1" x14ac:dyDescent="0.3">
      <c r="A1390" s="49"/>
      <c r="B1390" s="54">
        <v>47380</v>
      </c>
      <c r="C1390" s="55" t="str">
        <f t="shared" si="21"/>
        <v>Wed</v>
      </c>
      <c r="D1390" s="55"/>
      <c r="O1390" s="49"/>
    </row>
    <row r="1391" spans="1:15" hidden="1" x14ac:dyDescent="0.3">
      <c r="A1391" s="49"/>
      <c r="B1391" s="54">
        <v>47381</v>
      </c>
      <c r="C1391" s="55" t="str">
        <f t="shared" si="21"/>
        <v>Thu</v>
      </c>
      <c r="D1391" s="55"/>
      <c r="O1391" s="49"/>
    </row>
    <row r="1392" spans="1:15" hidden="1" x14ac:dyDescent="0.3">
      <c r="A1392" s="49"/>
      <c r="B1392" s="54">
        <v>47382</v>
      </c>
      <c r="C1392" s="55" t="str">
        <f t="shared" si="21"/>
        <v>Fri</v>
      </c>
      <c r="D1392" s="55"/>
      <c r="O1392" s="49"/>
    </row>
    <row r="1393" spans="1:15" hidden="1" x14ac:dyDescent="0.3">
      <c r="A1393" s="49"/>
      <c r="B1393" s="54">
        <v>47383</v>
      </c>
      <c r="C1393" s="55" t="str">
        <f t="shared" si="21"/>
        <v>Sat</v>
      </c>
      <c r="D1393" s="55"/>
      <c r="O1393" s="49"/>
    </row>
    <row r="1394" spans="1:15" hidden="1" x14ac:dyDescent="0.3">
      <c r="A1394" s="49"/>
      <c r="B1394" s="54">
        <v>47384</v>
      </c>
      <c r="C1394" s="55" t="str">
        <f t="shared" si="21"/>
        <v>Sun</v>
      </c>
      <c r="D1394" s="55"/>
      <c r="O1394" s="49"/>
    </row>
    <row r="1395" spans="1:15" hidden="1" x14ac:dyDescent="0.3">
      <c r="A1395" s="49"/>
      <c r="B1395" s="54">
        <v>47385</v>
      </c>
      <c r="C1395" s="55" t="str">
        <f t="shared" si="21"/>
        <v>Mon</v>
      </c>
      <c r="D1395" s="55"/>
      <c r="O1395" s="49"/>
    </row>
    <row r="1396" spans="1:15" hidden="1" x14ac:dyDescent="0.3">
      <c r="A1396" s="49"/>
      <c r="B1396" s="54">
        <v>47386</v>
      </c>
      <c r="C1396" s="55" t="str">
        <f t="shared" si="21"/>
        <v>Tue</v>
      </c>
      <c r="D1396" s="55"/>
      <c r="O1396" s="49"/>
    </row>
    <row r="1397" spans="1:15" hidden="1" x14ac:dyDescent="0.3">
      <c r="A1397" s="49"/>
      <c r="B1397" s="54">
        <v>47387</v>
      </c>
      <c r="C1397" s="55" t="str">
        <f t="shared" si="21"/>
        <v>Wed</v>
      </c>
      <c r="D1397" s="55"/>
      <c r="O1397" s="49"/>
    </row>
    <row r="1398" spans="1:15" hidden="1" x14ac:dyDescent="0.3">
      <c r="A1398" s="49"/>
      <c r="B1398" s="54">
        <v>47388</v>
      </c>
      <c r="C1398" s="55" t="str">
        <f t="shared" si="21"/>
        <v>Thu</v>
      </c>
      <c r="D1398" s="55"/>
      <c r="O1398" s="49"/>
    </row>
    <row r="1399" spans="1:15" hidden="1" x14ac:dyDescent="0.3">
      <c r="A1399" s="49"/>
      <c r="B1399" s="54">
        <v>47389</v>
      </c>
      <c r="C1399" s="55" t="str">
        <f t="shared" si="21"/>
        <v>Fri</v>
      </c>
      <c r="D1399" s="55"/>
      <c r="O1399" s="49"/>
    </row>
    <row r="1400" spans="1:15" hidden="1" x14ac:dyDescent="0.3">
      <c r="A1400" s="49"/>
      <c r="B1400" s="54">
        <v>47390</v>
      </c>
      <c r="C1400" s="55" t="str">
        <f t="shared" si="21"/>
        <v>Sat</v>
      </c>
      <c r="D1400" s="55"/>
      <c r="O1400" s="49"/>
    </row>
    <row r="1401" spans="1:15" hidden="1" x14ac:dyDescent="0.3">
      <c r="A1401" s="49"/>
      <c r="B1401" s="54">
        <v>47391</v>
      </c>
      <c r="C1401" s="55" t="str">
        <f t="shared" si="21"/>
        <v>Sun</v>
      </c>
      <c r="D1401" s="55"/>
      <c r="O1401" s="49"/>
    </row>
    <row r="1402" spans="1:15" hidden="1" x14ac:dyDescent="0.3">
      <c r="A1402" s="49"/>
      <c r="B1402" s="54">
        <v>47392</v>
      </c>
      <c r="C1402" s="55" t="str">
        <f t="shared" si="21"/>
        <v>Mon</v>
      </c>
      <c r="D1402" s="55"/>
      <c r="O1402" s="49"/>
    </row>
    <row r="1403" spans="1:15" hidden="1" x14ac:dyDescent="0.3">
      <c r="A1403" s="49"/>
      <c r="B1403" s="54">
        <v>47393</v>
      </c>
      <c r="C1403" s="55" t="str">
        <f t="shared" si="21"/>
        <v>Tue</v>
      </c>
      <c r="D1403" s="55"/>
      <c r="O1403" s="49"/>
    </row>
    <row r="1404" spans="1:15" hidden="1" x14ac:dyDescent="0.3">
      <c r="A1404" s="49"/>
      <c r="B1404" s="54">
        <v>47394</v>
      </c>
      <c r="C1404" s="55" t="str">
        <f t="shared" si="21"/>
        <v>Wed</v>
      </c>
      <c r="D1404" s="55"/>
      <c r="O1404" s="49"/>
    </row>
    <row r="1405" spans="1:15" hidden="1" x14ac:dyDescent="0.3">
      <c r="A1405" s="49"/>
      <c r="B1405" s="54">
        <v>47395</v>
      </c>
      <c r="C1405" s="55" t="str">
        <f t="shared" si="21"/>
        <v>Thu</v>
      </c>
      <c r="D1405" s="55"/>
      <c r="O1405" s="49"/>
    </row>
    <row r="1406" spans="1:15" hidden="1" x14ac:dyDescent="0.3">
      <c r="A1406" s="49"/>
      <c r="B1406" s="54">
        <v>47396</v>
      </c>
      <c r="C1406" s="55" t="str">
        <f t="shared" si="21"/>
        <v>Fri</v>
      </c>
      <c r="D1406" s="55"/>
      <c r="O1406" s="49"/>
    </row>
    <row r="1407" spans="1:15" hidden="1" x14ac:dyDescent="0.3">
      <c r="A1407" s="49"/>
      <c r="B1407" s="54">
        <v>47397</v>
      </c>
      <c r="C1407" s="55" t="str">
        <f t="shared" si="21"/>
        <v>Sat</v>
      </c>
      <c r="D1407" s="55"/>
      <c r="O1407" s="49"/>
    </row>
    <row r="1408" spans="1:15" hidden="1" x14ac:dyDescent="0.3">
      <c r="A1408" s="49"/>
      <c r="B1408" s="54">
        <v>47398</v>
      </c>
      <c r="C1408" s="55" t="str">
        <f t="shared" si="21"/>
        <v>Sun</v>
      </c>
      <c r="D1408" s="55"/>
      <c r="O1408" s="49"/>
    </row>
    <row r="1409" spans="1:15" hidden="1" x14ac:dyDescent="0.3">
      <c r="A1409" s="49"/>
      <c r="B1409" s="54">
        <v>47399</v>
      </c>
      <c r="C1409" s="55" t="str">
        <f t="shared" si="21"/>
        <v>Mon</v>
      </c>
      <c r="D1409" s="55"/>
      <c r="O1409" s="49"/>
    </row>
    <row r="1410" spans="1:15" hidden="1" x14ac:dyDescent="0.3">
      <c r="A1410" s="49"/>
      <c r="B1410" s="54">
        <v>47400</v>
      </c>
      <c r="C1410" s="55" t="str">
        <f t="shared" si="21"/>
        <v>Tue</v>
      </c>
      <c r="D1410" s="55"/>
      <c r="O1410" s="49"/>
    </row>
    <row r="1411" spans="1:15" hidden="1" x14ac:dyDescent="0.3">
      <c r="A1411" s="49"/>
      <c r="B1411" s="54">
        <v>47401</v>
      </c>
      <c r="C1411" s="55" t="str">
        <f t="shared" si="21"/>
        <v>Wed</v>
      </c>
      <c r="D1411" s="55"/>
      <c r="O1411" s="49"/>
    </row>
    <row r="1412" spans="1:15" hidden="1" x14ac:dyDescent="0.3">
      <c r="A1412" s="49"/>
      <c r="B1412" s="54">
        <v>47402</v>
      </c>
      <c r="C1412" s="55" t="str">
        <f t="shared" si="21"/>
        <v>Thu</v>
      </c>
      <c r="D1412" s="55"/>
      <c r="O1412" s="49"/>
    </row>
    <row r="1413" spans="1:15" hidden="1" x14ac:dyDescent="0.3">
      <c r="A1413" s="49"/>
      <c r="B1413" s="54">
        <v>47403</v>
      </c>
      <c r="C1413" s="55" t="str">
        <f t="shared" si="21"/>
        <v>Fri</v>
      </c>
      <c r="D1413" s="55"/>
      <c r="O1413" s="49"/>
    </row>
    <row r="1414" spans="1:15" hidden="1" x14ac:dyDescent="0.3">
      <c r="A1414" s="49"/>
      <c r="B1414" s="54">
        <v>47404</v>
      </c>
      <c r="C1414" s="55" t="str">
        <f t="shared" si="21"/>
        <v>Sat</v>
      </c>
      <c r="D1414" s="55"/>
      <c r="O1414" s="49"/>
    </row>
    <row r="1415" spans="1:15" hidden="1" x14ac:dyDescent="0.3">
      <c r="A1415" s="49"/>
      <c r="B1415" s="54">
        <v>47405</v>
      </c>
      <c r="C1415" s="55" t="str">
        <f t="shared" si="21"/>
        <v>Sun</v>
      </c>
      <c r="D1415" s="55"/>
      <c r="O1415" s="49"/>
    </row>
    <row r="1416" spans="1:15" hidden="1" x14ac:dyDescent="0.3">
      <c r="A1416" s="49"/>
      <c r="B1416" s="54">
        <v>47406</v>
      </c>
      <c r="C1416" s="55" t="str">
        <f t="shared" si="21"/>
        <v>Mon</v>
      </c>
      <c r="D1416" s="55"/>
      <c r="O1416" s="49"/>
    </row>
    <row r="1417" spans="1:15" hidden="1" x14ac:dyDescent="0.3">
      <c r="A1417" s="49"/>
      <c r="B1417" s="54">
        <v>47407</v>
      </c>
      <c r="C1417" s="55" t="str">
        <f t="shared" si="21"/>
        <v>Tue</v>
      </c>
      <c r="D1417" s="55"/>
      <c r="O1417" s="49"/>
    </row>
    <row r="1418" spans="1:15" hidden="1" x14ac:dyDescent="0.3">
      <c r="A1418" s="49"/>
      <c r="B1418" s="54">
        <v>47408</v>
      </c>
      <c r="C1418" s="55" t="str">
        <f t="shared" si="21"/>
        <v>Wed</v>
      </c>
      <c r="D1418" s="55"/>
      <c r="O1418" s="49"/>
    </row>
    <row r="1419" spans="1:15" hidden="1" x14ac:dyDescent="0.3">
      <c r="A1419" s="49"/>
      <c r="B1419" s="54">
        <v>47409</v>
      </c>
      <c r="C1419" s="55" t="str">
        <f t="shared" si="21"/>
        <v>Thu</v>
      </c>
      <c r="D1419" s="55"/>
      <c r="O1419" s="49"/>
    </row>
    <row r="1420" spans="1:15" hidden="1" x14ac:dyDescent="0.3">
      <c r="A1420" s="49"/>
      <c r="B1420" s="54">
        <v>47410</v>
      </c>
      <c r="C1420" s="55" t="str">
        <f t="shared" si="21"/>
        <v>Fri</v>
      </c>
      <c r="D1420" s="55"/>
      <c r="O1420" s="49"/>
    </row>
    <row r="1421" spans="1:15" hidden="1" x14ac:dyDescent="0.3">
      <c r="A1421" s="49"/>
      <c r="B1421" s="54">
        <v>47411</v>
      </c>
      <c r="C1421" s="55" t="str">
        <f t="shared" si="21"/>
        <v>Sat</v>
      </c>
      <c r="D1421" s="55"/>
      <c r="O1421" s="49"/>
    </row>
    <row r="1422" spans="1:15" hidden="1" x14ac:dyDescent="0.3">
      <c r="A1422" s="49"/>
      <c r="B1422" s="54">
        <v>47412</v>
      </c>
      <c r="C1422" s="55" t="str">
        <f t="shared" si="21"/>
        <v>Sun</v>
      </c>
      <c r="D1422" s="55"/>
      <c r="O1422" s="49"/>
    </row>
    <row r="1423" spans="1:15" hidden="1" x14ac:dyDescent="0.3">
      <c r="A1423" s="49"/>
      <c r="B1423" s="54">
        <v>47413</v>
      </c>
      <c r="C1423" s="55" t="str">
        <f t="shared" si="21"/>
        <v>Mon</v>
      </c>
      <c r="D1423" s="55"/>
      <c r="O1423" s="49"/>
    </row>
    <row r="1424" spans="1:15" hidden="1" x14ac:dyDescent="0.3">
      <c r="A1424" s="49"/>
      <c r="B1424" s="54">
        <v>47414</v>
      </c>
      <c r="C1424" s="55" t="str">
        <f t="shared" si="21"/>
        <v>Tue</v>
      </c>
      <c r="D1424" s="55"/>
      <c r="O1424" s="49"/>
    </row>
    <row r="1425" spans="1:15" hidden="1" x14ac:dyDescent="0.3">
      <c r="A1425" s="49"/>
      <c r="B1425" s="54">
        <v>47415</v>
      </c>
      <c r="C1425" s="55" t="str">
        <f t="shared" si="21"/>
        <v>Wed</v>
      </c>
      <c r="D1425" s="55"/>
      <c r="O1425" s="49"/>
    </row>
    <row r="1426" spans="1:15" hidden="1" x14ac:dyDescent="0.3">
      <c r="A1426" s="49"/>
      <c r="B1426" s="54">
        <v>47416</v>
      </c>
      <c r="C1426" s="55" t="str">
        <f t="shared" si="21"/>
        <v>Thu</v>
      </c>
      <c r="D1426" s="55"/>
      <c r="O1426" s="49"/>
    </row>
    <row r="1427" spans="1:15" hidden="1" x14ac:dyDescent="0.3">
      <c r="A1427" s="49"/>
      <c r="B1427" s="54">
        <v>47417</v>
      </c>
      <c r="C1427" s="55" t="str">
        <f t="shared" si="21"/>
        <v>Fri</v>
      </c>
      <c r="D1427" s="55"/>
      <c r="O1427" s="49"/>
    </row>
    <row r="1428" spans="1:15" hidden="1" x14ac:dyDescent="0.3">
      <c r="A1428" s="49"/>
      <c r="B1428" s="54">
        <v>47418</v>
      </c>
      <c r="C1428" s="55" t="str">
        <f t="shared" si="21"/>
        <v>Sat</v>
      </c>
      <c r="D1428" s="55"/>
      <c r="O1428" s="49"/>
    </row>
    <row r="1429" spans="1:15" hidden="1" x14ac:dyDescent="0.3">
      <c r="A1429" s="49"/>
      <c r="B1429" s="54">
        <v>47419</v>
      </c>
      <c r="C1429" s="55" t="str">
        <f t="shared" si="21"/>
        <v>Sun</v>
      </c>
      <c r="D1429" s="55"/>
      <c r="O1429" s="49"/>
    </row>
    <row r="1430" spans="1:15" hidden="1" x14ac:dyDescent="0.3">
      <c r="A1430" s="49"/>
      <c r="B1430" s="54">
        <v>47420</v>
      </c>
      <c r="C1430" s="55" t="str">
        <f t="shared" si="21"/>
        <v>Mon</v>
      </c>
      <c r="D1430" s="55"/>
      <c r="O1430" s="49"/>
    </row>
    <row r="1431" spans="1:15" hidden="1" x14ac:dyDescent="0.3">
      <c r="A1431" s="49"/>
      <c r="B1431" s="54">
        <v>47421</v>
      </c>
      <c r="C1431" s="55" t="str">
        <f t="shared" si="21"/>
        <v>Tue</v>
      </c>
      <c r="D1431" s="55"/>
      <c r="O1431" s="49"/>
    </row>
    <row r="1432" spans="1:15" hidden="1" x14ac:dyDescent="0.3">
      <c r="A1432" s="49"/>
      <c r="B1432" s="54">
        <v>47422</v>
      </c>
      <c r="C1432" s="55" t="str">
        <f t="shared" si="21"/>
        <v>Wed</v>
      </c>
      <c r="D1432" s="55"/>
      <c r="O1432" s="49"/>
    </row>
    <row r="1433" spans="1:15" hidden="1" x14ac:dyDescent="0.3">
      <c r="A1433" s="49"/>
      <c r="B1433" s="54">
        <v>47423</v>
      </c>
      <c r="C1433" s="55" t="str">
        <f t="shared" si="21"/>
        <v>Thu</v>
      </c>
      <c r="D1433" s="55"/>
      <c r="O1433" s="49"/>
    </row>
    <row r="1434" spans="1:15" hidden="1" x14ac:dyDescent="0.3">
      <c r="A1434" s="49"/>
      <c r="B1434" s="54">
        <v>47424</v>
      </c>
      <c r="C1434" s="55" t="str">
        <f t="shared" si="21"/>
        <v>Fri</v>
      </c>
      <c r="D1434" s="55"/>
      <c r="O1434" s="49"/>
    </row>
    <row r="1435" spans="1:15" hidden="1" x14ac:dyDescent="0.3">
      <c r="A1435" s="49"/>
      <c r="B1435" s="54">
        <v>47425</v>
      </c>
      <c r="C1435" s="55" t="str">
        <f t="shared" si="21"/>
        <v>Sat</v>
      </c>
      <c r="D1435" s="55"/>
      <c r="O1435" s="49"/>
    </row>
    <row r="1436" spans="1:15" hidden="1" x14ac:dyDescent="0.3">
      <c r="A1436" s="49"/>
      <c r="B1436" s="54">
        <v>47426</v>
      </c>
      <c r="C1436" s="55" t="str">
        <f t="shared" si="21"/>
        <v>Sun</v>
      </c>
      <c r="D1436" s="55"/>
      <c r="O1436" s="49"/>
    </row>
    <row r="1437" spans="1:15" hidden="1" x14ac:dyDescent="0.3">
      <c r="A1437" s="49"/>
      <c r="B1437" s="54">
        <v>47427</v>
      </c>
      <c r="C1437" s="55" t="str">
        <f t="shared" si="21"/>
        <v>Mon</v>
      </c>
      <c r="D1437" s="55"/>
      <c r="O1437" s="49"/>
    </row>
    <row r="1438" spans="1:15" hidden="1" x14ac:dyDescent="0.3">
      <c r="A1438" s="49"/>
      <c r="B1438" s="54">
        <v>47428</v>
      </c>
      <c r="C1438" s="55" t="str">
        <f t="shared" si="21"/>
        <v>Tue</v>
      </c>
      <c r="D1438" s="55"/>
      <c r="O1438" s="49"/>
    </row>
    <row r="1439" spans="1:15" hidden="1" x14ac:dyDescent="0.3">
      <c r="A1439" s="49"/>
      <c r="B1439" s="54">
        <v>47429</v>
      </c>
      <c r="C1439" s="55" t="str">
        <f t="shared" si="21"/>
        <v>Wed</v>
      </c>
      <c r="D1439" s="55"/>
      <c r="O1439" s="49"/>
    </row>
    <row r="1440" spans="1:15" hidden="1" x14ac:dyDescent="0.3">
      <c r="A1440" s="49"/>
      <c r="B1440" s="54">
        <v>47430</v>
      </c>
      <c r="C1440" s="55" t="str">
        <f t="shared" si="21"/>
        <v>Thu</v>
      </c>
      <c r="D1440" s="55"/>
      <c r="O1440" s="49"/>
    </row>
    <row r="1441" spans="1:15" hidden="1" x14ac:dyDescent="0.3">
      <c r="A1441" s="49"/>
      <c r="B1441" s="54">
        <v>47431</v>
      </c>
      <c r="C1441" s="55" t="str">
        <f t="shared" si="21"/>
        <v>Fri</v>
      </c>
      <c r="D1441" s="55"/>
      <c r="O1441" s="49"/>
    </row>
    <row r="1442" spans="1:15" hidden="1" x14ac:dyDescent="0.3">
      <c r="A1442" s="49"/>
      <c r="B1442" s="54">
        <v>47432</v>
      </c>
      <c r="C1442" s="55" t="str">
        <f t="shared" ref="C1442:C1493" si="22">TEXT(B1442,"ddd")</f>
        <v>Sat</v>
      </c>
      <c r="D1442" s="55"/>
      <c r="O1442" s="49"/>
    </row>
    <row r="1443" spans="1:15" hidden="1" x14ac:dyDescent="0.3">
      <c r="A1443" s="49"/>
      <c r="B1443" s="54">
        <v>47433</v>
      </c>
      <c r="C1443" s="55" t="str">
        <f t="shared" si="22"/>
        <v>Sun</v>
      </c>
      <c r="D1443" s="55"/>
      <c r="O1443" s="49"/>
    </row>
    <row r="1444" spans="1:15" hidden="1" x14ac:dyDescent="0.3">
      <c r="A1444" s="49"/>
      <c r="B1444" s="54">
        <v>47434</v>
      </c>
      <c r="C1444" s="55" t="str">
        <f t="shared" si="22"/>
        <v>Mon</v>
      </c>
      <c r="D1444" s="55"/>
      <c r="O1444" s="49"/>
    </row>
    <row r="1445" spans="1:15" hidden="1" x14ac:dyDescent="0.3">
      <c r="A1445" s="49"/>
      <c r="B1445" s="54">
        <v>47435</v>
      </c>
      <c r="C1445" s="55" t="str">
        <f t="shared" si="22"/>
        <v>Tue</v>
      </c>
      <c r="D1445" s="55"/>
      <c r="O1445" s="49"/>
    </row>
    <row r="1446" spans="1:15" hidden="1" x14ac:dyDescent="0.3">
      <c r="A1446" s="49"/>
      <c r="B1446" s="54">
        <v>47436</v>
      </c>
      <c r="C1446" s="55" t="str">
        <f t="shared" si="22"/>
        <v>Wed</v>
      </c>
      <c r="D1446" s="55"/>
      <c r="O1446" s="49"/>
    </row>
    <row r="1447" spans="1:15" hidden="1" x14ac:dyDescent="0.3">
      <c r="A1447" s="49"/>
      <c r="B1447" s="54">
        <v>47437</v>
      </c>
      <c r="C1447" s="55" t="str">
        <f t="shared" si="22"/>
        <v>Thu</v>
      </c>
      <c r="D1447" s="55"/>
      <c r="O1447" s="49"/>
    </row>
    <row r="1448" spans="1:15" hidden="1" x14ac:dyDescent="0.3">
      <c r="A1448" s="49"/>
      <c r="B1448" s="54">
        <v>47438</v>
      </c>
      <c r="C1448" s="55" t="str">
        <f t="shared" si="22"/>
        <v>Fri</v>
      </c>
      <c r="D1448" s="55"/>
      <c r="O1448" s="49"/>
    </row>
    <row r="1449" spans="1:15" hidden="1" x14ac:dyDescent="0.3">
      <c r="A1449" s="49"/>
      <c r="B1449" s="54">
        <v>47439</v>
      </c>
      <c r="C1449" s="55" t="str">
        <f t="shared" si="22"/>
        <v>Sat</v>
      </c>
      <c r="D1449" s="55"/>
      <c r="O1449" s="49"/>
    </row>
    <row r="1450" spans="1:15" hidden="1" x14ac:dyDescent="0.3">
      <c r="A1450" s="49"/>
      <c r="B1450" s="54">
        <v>47440</v>
      </c>
      <c r="C1450" s="55" t="str">
        <f t="shared" si="22"/>
        <v>Sun</v>
      </c>
      <c r="D1450" s="55"/>
      <c r="O1450" s="49"/>
    </row>
    <row r="1451" spans="1:15" hidden="1" x14ac:dyDescent="0.3">
      <c r="A1451" s="49"/>
      <c r="B1451" s="54">
        <v>47441</v>
      </c>
      <c r="C1451" s="55" t="str">
        <f t="shared" si="22"/>
        <v>Mon</v>
      </c>
      <c r="D1451" s="55"/>
      <c r="O1451" s="49"/>
    </row>
    <row r="1452" spans="1:15" hidden="1" x14ac:dyDescent="0.3">
      <c r="A1452" s="49"/>
      <c r="B1452" s="54">
        <v>47442</v>
      </c>
      <c r="C1452" s="55" t="str">
        <f t="shared" si="22"/>
        <v>Tue</v>
      </c>
      <c r="D1452" s="55"/>
      <c r="O1452" s="49"/>
    </row>
    <row r="1453" spans="1:15" hidden="1" x14ac:dyDescent="0.3">
      <c r="A1453" s="49"/>
      <c r="B1453" s="54">
        <v>47443</v>
      </c>
      <c r="C1453" s="55" t="str">
        <f t="shared" si="22"/>
        <v>Wed</v>
      </c>
      <c r="D1453" s="55"/>
      <c r="O1453" s="49"/>
    </row>
    <row r="1454" spans="1:15" hidden="1" x14ac:dyDescent="0.3">
      <c r="A1454" s="49"/>
      <c r="B1454" s="54">
        <v>47444</v>
      </c>
      <c r="C1454" s="55" t="str">
        <f t="shared" si="22"/>
        <v>Thu</v>
      </c>
      <c r="D1454" s="55"/>
      <c r="O1454" s="49"/>
    </row>
    <row r="1455" spans="1:15" hidden="1" x14ac:dyDescent="0.3">
      <c r="A1455" s="49"/>
      <c r="B1455" s="54">
        <v>47445</v>
      </c>
      <c r="C1455" s="55" t="str">
        <f t="shared" si="22"/>
        <v>Fri</v>
      </c>
      <c r="D1455" s="55"/>
      <c r="O1455" s="49"/>
    </row>
    <row r="1456" spans="1:15" hidden="1" x14ac:dyDescent="0.3">
      <c r="A1456" s="49"/>
      <c r="B1456" s="54">
        <v>47446</v>
      </c>
      <c r="C1456" s="55" t="str">
        <f t="shared" si="22"/>
        <v>Sat</v>
      </c>
      <c r="D1456" s="55"/>
      <c r="O1456" s="49"/>
    </row>
    <row r="1457" spans="1:15" hidden="1" x14ac:dyDescent="0.3">
      <c r="A1457" s="49"/>
      <c r="B1457" s="54">
        <v>47447</v>
      </c>
      <c r="C1457" s="55" t="str">
        <f t="shared" si="22"/>
        <v>Sun</v>
      </c>
      <c r="D1457" s="55"/>
      <c r="O1457" s="49"/>
    </row>
    <row r="1458" spans="1:15" hidden="1" x14ac:dyDescent="0.3">
      <c r="A1458" s="49"/>
      <c r="B1458" s="54">
        <v>47448</v>
      </c>
      <c r="C1458" s="55" t="str">
        <f t="shared" si="22"/>
        <v>Mon</v>
      </c>
      <c r="D1458" s="55"/>
      <c r="O1458" s="49"/>
    </row>
    <row r="1459" spans="1:15" hidden="1" x14ac:dyDescent="0.3">
      <c r="A1459" s="49"/>
      <c r="B1459" s="54">
        <v>47449</v>
      </c>
      <c r="C1459" s="55" t="str">
        <f t="shared" si="22"/>
        <v>Tue</v>
      </c>
      <c r="D1459" s="55"/>
      <c r="O1459" s="49"/>
    </row>
    <row r="1460" spans="1:15" hidden="1" x14ac:dyDescent="0.3">
      <c r="A1460" s="49"/>
      <c r="B1460" s="54">
        <v>47450</v>
      </c>
      <c r="C1460" s="55" t="str">
        <f t="shared" si="22"/>
        <v>Wed</v>
      </c>
      <c r="D1460" s="55"/>
      <c r="O1460" s="49"/>
    </row>
    <row r="1461" spans="1:15" hidden="1" x14ac:dyDescent="0.3">
      <c r="A1461" s="49"/>
      <c r="B1461" s="54">
        <v>47451</v>
      </c>
      <c r="C1461" s="55" t="str">
        <f t="shared" si="22"/>
        <v>Thu</v>
      </c>
      <c r="D1461" s="55"/>
      <c r="O1461" s="49"/>
    </row>
    <row r="1462" spans="1:15" hidden="1" x14ac:dyDescent="0.3">
      <c r="A1462" s="49"/>
      <c r="B1462" s="54">
        <v>47452</v>
      </c>
      <c r="C1462" s="55" t="str">
        <f t="shared" si="22"/>
        <v>Fri</v>
      </c>
      <c r="D1462" s="55"/>
      <c r="O1462" s="49"/>
    </row>
    <row r="1463" spans="1:15" hidden="1" x14ac:dyDescent="0.3">
      <c r="A1463" s="49"/>
      <c r="B1463" s="54">
        <v>47453</v>
      </c>
      <c r="C1463" s="55" t="str">
        <f t="shared" si="22"/>
        <v>Sat</v>
      </c>
      <c r="D1463" s="55"/>
      <c r="K1463" s="49"/>
      <c r="L1463" s="49"/>
      <c r="M1463" s="49"/>
      <c r="N1463" s="49"/>
      <c r="O1463" s="49"/>
    </row>
    <row r="1464" spans="1:15" hidden="1" x14ac:dyDescent="0.3">
      <c r="A1464" s="49"/>
      <c r="B1464" s="54">
        <v>47454</v>
      </c>
      <c r="C1464" s="55" t="str">
        <f t="shared" si="22"/>
        <v>Sun</v>
      </c>
      <c r="D1464" s="55"/>
      <c r="K1464" s="49"/>
      <c r="L1464" s="49"/>
      <c r="M1464" s="49"/>
      <c r="N1464" s="49"/>
      <c r="O1464" s="49"/>
    </row>
    <row r="1465" spans="1:15" hidden="1" x14ac:dyDescent="0.3">
      <c r="A1465" s="49"/>
      <c r="B1465" s="54">
        <v>47455</v>
      </c>
      <c r="C1465" s="55" t="str">
        <f t="shared" si="22"/>
        <v>Mon</v>
      </c>
      <c r="D1465" s="55"/>
    </row>
    <row r="1466" spans="1:15" hidden="1" x14ac:dyDescent="0.3">
      <c r="A1466" s="49"/>
      <c r="B1466" s="54">
        <v>47456</v>
      </c>
      <c r="C1466" s="55" t="str">
        <f t="shared" si="22"/>
        <v>Tue</v>
      </c>
      <c r="D1466" s="55"/>
    </row>
    <row r="1467" spans="1:15" hidden="1" x14ac:dyDescent="0.3">
      <c r="A1467" s="49"/>
      <c r="B1467" s="54">
        <v>47457</v>
      </c>
      <c r="C1467" s="55" t="str">
        <f t="shared" si="22"/>
        <v>Wed</v>
      </c>
      <c r="D1467" s="55"/>
    </row>
    <row r="1468" spans="1:15" hidden="1" x14ac:dyDescent="0.3">
      <c r="A1468" s="49"/>
      <c r="B1468" s="54">
        <v>47458</v>
      </c>
      <c r="C1468" s="55" t="str">
        <f t="shared" si="22"/>
        <v>Thu</v>
      </c>
      <c r="D1468" s="55"/>
    </row>
    <row r="1469" spans="1:15" hidden="1" x14ac:dyDescent="0.3">
      <c r="A1469" s="49"/>
      <c r="B1469" s="54">
        <v>47459</v>
      </c>
      <c r="C1469" s="55" t="str">
        <f t="shared" si="22"/>
        <v>Fri</v>
      </c>
      <c r="D1469" s="55"/>
    </row>
    <row r="1470" spans="1:15" hidden="1" x14ac:dyDescent="0.3">
      <c r="A1470" s="49"/>
      <c r="B1470" s="54">
        <v>47460</v>
      </c>
      <c r="C1470" s="55" t="str">
        <f t="shared" si="22"/>
        <v>Sat</v>
      </c>
      <c r="D1470" s="55"/>
    </row>
    <row r="1471" spans="1:15" hidden="1" x14ac:dyDescent="0.3">
      <c r="A1471" s="49"/>
      <c r="B1471" s="54">
        <v>47461</v>
      </c>
      <c r="C1471" s="55" t="str">
        <f t="shared" si="22"/>
        <v>Sun</v>
      </c>
      <c r="D1471" s="55"/>
    </row>
    <row r="1472" spans="1:15" hidden="1" x14ac:dyDescent="0.3">
      <c r="A1472" s="49"/>
      <c r="B1472" s="54">
        <v>47462</v>
      </c>
      <c r="C1472" s="55" t="str">
        <f t="shared" si="22"/>
        <v>Mon</v>
      </c>
      <c r="D1472" s="55"/>
    </row>
    <row r="1473" spans="1:4" hidden="1" x14ac:dyDescent="0.3">
      <c r="A1473" s="49"/>
      <c r="B1473" s="54">
        <v>47463</v>
      </c>
      <c r="C1473" s="55" t="str">
        <f t="shared" si="22"/>
        <v>Tue</v>
      </c>
      <c r="D1473" s="55"/>
    </row>
    <row r="1474" spans="1:4" hidden="1" x14ac:dyDescent="0.3">
      <c r="A1474" s="49"/>
      <c r="B1474" s="54">
        <v>47464</v>
      </c>
      <c r="C1474" s="55" t="str">
        <f t="shared" si="22"/>
        <v>Wed</v>
      </c>
      <c r="D1474" s="55"/>
    </row>
    <row r="1475" spans="1:4" hidden="1" x14ac:dyDescent="0.3">
      <c r="A1475" s="49"/>
      <c r="B1475" s="54">
        <v>47465</v>
      </c>
      <c r="C1475" s="55" t="str">
        <f t="shared" si="22"/>
        <v>Thu</v>
      </c>
      <c r="D1475" s="55"/>
    </row>
    <row r="1476" spans="1:4" hidden="1" x14ac:dyDescent="0.3">
      <c r="A1476" s="49"/>
      <c r="B1476" s="54">
        <v>47466</v>
      </c>
      <c r="C1476" s="55" t="str">
        <f t="shared" si="22"/>
        <v>Fri</v>
      </c>
      <c r="D1476" s="55"/>
    </row>
    <row r="1477" spans="1:4" hidden="1" x14ac:dyDescent="0.3">
      <c r="A1477" s="49"/>
      <c r="B1477" s="54">
        <v>47467</v>
      </c>
      <c r="C1477" s="55" t="str">
        <f t="shared" si="22"/>
        <v>Sat</v>
      </c>
      <c r="D1477" s="55"/>
    </row>
    <row r="1478" spans="1:4" hidden="1" x14ac:dyDescent="0.3">
      <c r="A1478" s="49"/>
      <c r="B1478" s="54">
        <v>47468</v>
      </c>
      <c r="C1478" s="55" t="str">
        <f t="shared" si="22"/>
        <v>Sun</v>
      </c>
      <c r="D1478" s="55"/>
    </row>
    <row r="1479" spans="1:4" hidden="1" x14ac:dyDescent="0.3">
      <c r="A1479" s="49"/>
      <c r="B1479" s="54">
        <v>47469</v>
      </c>
      <c r="C1479" s="55" t="str">
        <f t="shared" si="22"/>
        <v>Mon</v>
      </c>
      <c r="D1479" s="55"/>
    </row>
    <row r="1480" spans="1:4" hidden="1" x14ac:dyDescent="0.3">
      <c r="A1480" s="49"/>
      <c r="B1480" s="54">
        <v>47470</v>
      </c>
      <c r="C1480" s="55" t="str">
        <f t="shared" si="22"/>
        <v>Tue</v>
      </c>
      <c r="D1480" s="55"/>
    </row>
    <row r="1481" spans="1:4" hidden="1" x14ac:dyDescent="0.3">
      <c r="A1481" s="49"/>
      <c r="B1481" s="54">
        <v>47471</v>
      </c>
      <c r="C1481" s="55" t="str">
        <f t="shared" si="22"/>
        <v>Wed</v>
      </c>
      <c r="D1481" s="55"/>
    </row>
    <row r="1482" spans="1:4" hidden="1" x14ac:dyDescent="0.3">
      <c r="A1482" s="49"/>
      <c r="B1482" s="54">
        <v>47472</v>
      </c>
      <c r="C1482" s="55" t="str">
        <f t="shared" si="22"/>
        <v>Thu</v>
      </c>
      <c r="D1482" s="55"/>
    </row>
    <row r="1483" spans="1:4" hidden="1" x14ac:dyDescent="0.3">
      <c r="A1483" s="49"/>
      <c r="B1483" s="54">
        <v>47473</v>
      </c>
      <c r="C1483" s="55" t="str">
        <f t="shared" si="22"/>
        <v>Fri</v>
      </c>
      <c r="D1483" s="55"/>
    </row>
    <row r="1484" spans="1:4" hidden="1" x14ac:dyDescent="0.3">
      <c r="A1484" s="49"/>
      <c r="B1484" s="54">
        <v>47474</v>
      </c>
      <c r="C1484" s="55" t="str">
        <f t="shared" si="22"/>
        <v>Sat</v>
      </c>
      <c r="D1484" s="55"/>
    </row>
    <row r="1485" spans="1:4" hidden="1" x14ac:dyDescent="0.3">
      <c r="A1485" s="49"/>
      <c r="B1485" s="54">
        <v>47475</v>
      </c>
      <c r="C1485" s="55" t="str">
        <f t="shared" si="22"/>
        <v>Sun</v>
      </c>
      <c r="D1485" s="55"/>
    </row>
    <row r="1486" spans="1:4" hidden="1" x14ac:dyDescent="0.3">
      <c r="A1486" s="49"/>
      <c r="B1486" s="54">
        <v>47476</v>
      </c>
      <c r="C1486" s="55" t="str">
        <f t="shared" si="22"/>
        <v>Mon</v>
      </c>
      <c r="D1486" s="55"/>
    </row>
    <row r="1487" spans="1:4" hidden="1" x14ac:dyDescent="0.3">
      <c r="A1487" s="49"/>
      <c r="B1487" s="54">
        <v>47477</v>
      </c>
      <c r="C1487" s="55" t="str">
        <f t="shared" si="22"/>
        <v>Tue</v>
      </c>
      <c r="D1487" s="55"/>
    </row>
    <row r="1488" spans="1:4" hidden="1" x14ac:dyDescent="0.3">
      <c r="A1488" s="49"/>
      <c r="B1488" s="54">
        <v>47478</v>
      </c>
      <c r="C1488" s="55" t="str">
        <f t="shared" si="22"/>
        <v>Wed</v>
      </c>
      <c r="D1488" s="55"/>
    </row>
    <row r="1489" spans="1:4" hidden="1" x14ac:dyDescent="0.3">
      <c r="A1489" s="49"/>
      <c r="B1489" s="54">
        <v>47479</v>
      </c>
      <c r="C1489" s="55" t="str">
        <f t="shared" si="22"/>
        <v>Thu</v>
      </c>
      <c r="D1489" s="55"/>
    </row>
    <row r="1490" spans="1:4" hidden="1" x14ac:dyDescent="0.3">
      <c r="A1490" s="49"/>
      <c r="B1490" s="54">
        <v>47480</v>
      </c>
      <c r="C1490" s="55" t="str">
        <f t="shared" si="22"/>
        <v>Fri</v>
      </c>
      <c r="D1490" s="55"/>
    </row>
    <row r="1491" spans="1:4" hidden="1" x14ac:dyDescent="0.3">
      <c r="A1491" s="49"/>
      <c r="B1491" s="54">
        <v>47481</v>
      </c>
      <c r="C1491" s="55" t="str">
        <f t="shared" si="22"/>
        <v>Sat</v>
      </c>
      <c r="D1491" s="55"/>
    </row>
    <row r="1492" spans="1:4" hidden="1" x14ac:dyDescent="0.3">
      <c r="A1492" s="49"/>
      <c r="B1492" s="54">
        <v>47482</v>
      </c>
      <c r="C1492" s="55" t="str">
        <f t="shared" si="22"/>
        <v>Sun</v>
      </c>
      <c r="D1492" s="55"/>
    </row>
    <row r="1493" spans="1:4" hidden="1" x14ac:dyDescent="0.3">
      <c r="A1493" s="49"/>
      <c r="B1493" s="54">
        <v>47483</v>
      </c>
      <c r="C1493" s="55" t="str">
        <f t="shared" si="22"/>
        <v>Mon</v>
      </c>
      <c r="D1493" s="55"/>
    </row>
  </sheetData>
  <mergeCells count="2">
    <mergeCell ref="G1:G3"/>
    <mergeCell ref="B32:D32"/>
  </mergeCells>
  <dataValidations count="1">
    <dataValidation type="list" allowBlank="1" sqref="D34:D1493" xr:uid="{8EA40B25-D64F-4646-9244-95F587677C9E}">
      <formula1>",Gym,Rest"</formula1>
      <formula2>0</formula2>
    </dataValidation>
  </dataValidation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1"/>
  <sheetViews>
    <sheetView topLeftCell="A99" zoomScale="80" zoomScaleNormal="80" workbookViewId="0">
      <selection activeCell="A127" sqref="A127"/>
    </sheetView>
  </sheetViews>
  <sheetFormatPr defaultRowHeight="14.4" x14ac:dyDescent="0.3"/>
  <cols>
    <col min="1" max="1" width="20.33203125" style="13" bestFit="1" customWidth="1"/>
    <col min="2" max="2" width="20.33203125" style="13" customWidth="1"/>
    <col min="3" max="3" width="32.21875" bestFit="1" customWidth="1"/>
    <col min="4" max="5" width="17.33203125" customWidth="1"/>
    <col min="6" max="9" width="15" customWidth="1"/>
    <col min="10" max="10" width="77.44140625" customWidth="1"/>
  </cols>
  <sheetData>
    <row r="1" spans="1:10" x14ac:dyDescent="0.3">
      <c r="A1" s="12" t="s">
        <v>16</v>
      </c>
      <c r="B1" s="18" t="s">
        <v>60</v>
      </c>
      <c r="C1" s="11" t="s">
        <v>0</v>
      </c>
      <c r="D1" s="1" t="s">
        <v>28</v>
      </c>
      <c r="E1" s="1" t="s">
        <v>27</v>
      </c>
      <c r="F1" s="1" t="s">
        <v>31</v>
      </c>
      <c r="G1" s="1" t="s">
        <v>32</v>
      </c>
      <c r="H1" s="11" t="s">
        <v>61</v>
      </c>
      <c r="I1" s="11" t="s">
        <v>56</v>
      </c>
      <c r="J1" s="1" t="s">
        <v>1</v>
      </c>
    </row>
    <row r="2" spans="1:10" ht="28.8" x14ac:dyDescent="0.3">
      <c r="A2" s="14">
        <v>46161</v>
      </c>
      <c r="B2" s="14" t="str">
        <f>TEXT(log[[#This Row],[Date (DAY)]],"dd MMM (ddd)")</f>
        <v>19 May (Tue)</v>
      </c>
      <c r="C2" s="5" t="s">
        <v>10</v>
      </c>
      <c r="D2" s="10">
        <v>6</v>
      </c>
      <c r="E2" s="10" t="s">
        <v>29</v>
      </c>
      <c r="F2" s="10">
        <v>10</v>
      </c>
      <c r="G2" s="10">
        <v>3</v>
      </c>
      <c r="H2" s="10">
        <f>IFERROR(log[[#This Row],[Reps]]*log[[#This Row],[Sets]],"")</f>
        <v>30</v>
      </c>
      <c r="I2" s="10">
        <f>IFERROR(log[[#This Row],[Weight Value]]*log[[#This Row],[Reps]]*log[[#This Row],[Sets]],"")</f>
        <v>180</v>
      </c>
      <c r="J2" s="4" t="s">
        <v>41</v>
      </c>
    </row>
    <row r="3" spans="1:10" x14ac:dyDescent="0.3">
      <c r="A3" s="14">
        <v>46161</v>
      </c>
      <c r="B3" s="14" t="str">
        <f>TEXT(log[[#This Row],[Date (DAY)]],"dd MMM (ddd)")</f>
        <v>19 May (Tue)</v>
      </c>
      <c r="C3" t="s">
        <v>2</v>
      </c>
      <c r="D3" s="9" t="s">
        <v>42</v>
      </c>
      <c r="E3" s="9" t="s">
        <v>42</v>
      </c>
      <c r="F3" s="9">
        <v>10</v>
      </c>
      <c r="G3" s="9">
        <v>3</v>
      </c>
      <c r="H3" s="9"/>
      <c r="I3" s="9" t="str">
        <f>IFERROR(log[[#This Row],[Weight Value]]*log[[#This Row],[Reps]]*log[[#This Row],[Sets]],"")</f>
        <v/>
      </c>
      <c r="J3" s="4"/>
    </row>
    <row r="4" spans="1:10" x14ac:dyDescent="0.3">
      <c r="A4" s="14">
        <v>46161</v>
      </c>
      <c r="B4" s="14" t="str">
        <f>TEXT(log[[#This Row],[Date (DAY)]],"dd MMM (ddd)")</f>
        <v>19 May (Tue)</v>
      </c>
      <c r="C4" t="s">
        <v>3</v>
      </c>
      <c r="D4" s="9" t="s">
        <v>42</v>
      </c>
      <c r="E4" s="9" t="s">
        <v>42</v>
      </c>
      <c r="F4" s="9">
        <v>10</v>
      </c>
      <c r="G4" s="9">
        <v>3</v>
      </c>
      <c r="H4" s="9"/>
      <c r="I4" s="9" t="str">
        <f>IFERROR(log[[#This Row],[Weight Value]]*log[[#This Row],[Reps]]*log[[#This Row],[Sets]],"")</f>
        <v/>
      </c>
      <c r="J4" s="4"/>
    </row>
    <row r="5" spans="1:10" x14ac:dyDescent="0.3">
      <c r="A5" s="14">
        <v>46161</v>
      </c>
      <c r="B5" s="14" t="str">
        <f>TEXT(log[[#This Row],[Date (DAY)]],"dd MMM (ddd)")</f>
        <v>19 May (Tue)</v>
      </c>
      <c r="C5" t="s">
        <v>4</v>
      </c>
      <c r="D5" s="9" t="s">
        <v>42</v>
      </c>
      <c r="E5" s="9" t="s">
        <v>42</v>
      </c>
      <c r="F5" s="9">
        <v>10</v>
      </c>
      <c r="G5" s="9">
        <v>3</v>
      </c>
      <c r="H5" s="9"/>
      <c r="I5" s="9" t="str">
        <f>IFERROR(log[[#This Row],[Weight Value]]*log[[#This Row],[Reps]]*log[[#This Row],[Sets]],"")</f>
        <v/>
      </c>
      <c r="J5" s="4"/>
    </row>
    <row r="6" spans="1:10" x14ac:dyDescent="0.3">
      <c r="A6" s="14">
        <v>46161</v>
      </c>
      <c r="B6" s="14" t="str">
        <f>TEXT(log[[#This Row],[Date (DAY)]],"dd MMM (ddd)")</f>
        <v>19 May (Tue)</v>
      </c>
      <c r="C6" t="s">
        <v>5</v>
      </c>
      <c r="D6" s="9" t="s">
        <v>42</v>
      </c>
      <c r="E6" s="9" t="s">
        <v>42</v>
      </c>
      <c r="F6" s="9">
        <v>10</v>
      </c>
      <c r="G6" s="9">
        <v>3</v>
      </c>
      <c r="H6" s="9"/>
      <c r="I6" s="9" t="str">
        <f>IFERROR(log[[#This Row],[Weight Value]]*log[[#This Row],[Reps]]*log[[#This Row],[Sets]],"")</f>
        <v/>
      </c>
      <c r="J6" s="4"/>
    </row>
    <row r="7" spans="1:10" x14ac:dyDescent="0.3">
      <c r="A7" s="14">
        <v>46161</v>
      </c>
      <c r="B7" s="14" t="str">
        <f>TEXT(log[[#This Row],[Date (DAY)]],"dd MMM (ddd)")</f>
        <v>19 May (Tue)</v>
      </c>
      <c r="C7" t="s">
        <v>6</v>
      </c>
      <c r="D7" s="9" t="s">
        <v>42</v>
      </c>
      <c r="E7" s="9" t="s">
        <v>42</v>
      </c>
      <c r="F7" s="9">
        <v>10</v>
      </c>
      <c r="G7" s="9">
        <v>3</v>
      </c>
      <c r="H7" s="9"/>
      <c r="I7" s="9" t="str">
        <f>IFERROR(log[[#This Row],[Weight Value]]*log[[#This Row],[Reps]]*log[[#This Row],[Sets]],"")</f>
        <v/>
      </c>
      <c r="J7" s="4"/>
    </row>
    <row r="8" spans="1:10" x14ac:dyDescent="0.3">
      <c r="A8" s="14">
        <v>46163</v>
      </c>
      <c r="B8" s="14" t="str">
        <f>TEXT(log[[#This Row],[Date (DAY)]],"dd MMM (ddd)")</f>
        <v>21 May (Thu)</v>
      </c>
      <c r="C8" t="s">
        <v>4</v>
      </c>
      <c r="D8" s="9">
        <v>30</v>
      </c>
      <c r="E8" s="9" t="s">
        <v>30</v>
      </c>
      <c r="F8" s="9">
        <v>10</v>
      </c>
      <c r="G8" s="9">
        <v>3</v>
      </c>
      <c r="H8" s="9">
        <f>IFERROR(log[[#This Row],[Reps]]*log[[#This Row],[Sets]],"")</f>
        <v>30</v>
      </c>
      <c r="I8" s="9">
        <f>IFERROR(log[[#This Row],[Weight Value]]*log[[#This Row],[Reps]]*log[[#This Row],[Sets]],"")</f>
        <v>900</v>
      </c>
    </row>
    <row r="9" spans="1:10" x14ac:dyDescent="0.3">
      <c r="A9" s="14">
        <v>46163</v>
      </c>
      <c r="B9" s="14" t="str">
        <f>TEXT(log[[#This Row],[Date (DAY)]],"dd MMM (ddd)")</f>
        <v>21 May (Thu)</v>
      </c>
      <c r="C9" t="s">
        <v>5</v>
      </c>
      <c r="D9" s="9">
        <v>55</v>
      </c>
      <c r="E9" s="9" t="s">
        <v>30</v>
      </c>
      <c r="F9" s="9">
        <v>10</v>
      </c>
      <c r="G9" s="9">
        <v>3</v>
      </c>
      <c r="H9" s="9">
        <f>IFERROR(log[[#This Row],[Reps]]*log[[#This Row],[Sets]],"")</f>
        <v>30</v>
      </c>
      <c r="I9" s="9">
        <f>IFERROR(log[[#This Row],[Weight Value]]*log[[#This Row],[Reps]]*log[[#This Row],[Sets]],"")</f>
        <v>1650</v>
      </c>
    </row>
    <row r="10" spans="1:10" x14ac:dyDescent="0.3">
      <c r="A10" s="14">
        <v>46163</v>
      </c>
      <c r="B10" s="14" t="str">
        <f>TEXT(log[[#This Row],[Date (DAY)]],"dd MMM (ddd)")</f>
        <v>21 May (Thu)</v>
      </c>
      <c r="C10" t="s">
        <v>6</v>
      </c>
      <c r="D10" s="9">
        <v>20</v>
      </c>
      <c r="E10" s="9" t="s">
        <v>30</v>
      </c>
      <c r="F10" s="9">
        <v>10</v>
      </c>
      <c r="G10" s="9">
        <v>3</v>
      </c>
      <c r="H10" s="9">
        <f>IFERROR(log[[#This Row],[Reps]]*log[[#This Row],[Sets]],"")</f>
        <v>30</v>
      </c>
      <c r="I10" s="9">
        <f>IFERROR(log[[#This Row],[Weight Value]]*log[[#This Row],[Reps]]*log[[#This Row],[Sets]],"")</f>
        <v>600</v>
      </c>
      <c r="J10" t="s">
        <v>7</v>
      </c>
    </row>
    <row r="11" spans="1:10" x14ac:dyDescent="0.3">
      <c r="A11" s="14">
        <v>46163</v>
      </c>
      <c r="B11" s="14" t="str">
        <f>TEXT(log[[#This Row],[Date (DAY)]],"dd MMM (ddd)")</f>
        <v>21 May (Thu)</v>
      </c>
      <c r="C11" t="s">
        <v>3</v>
      </c>
      <c r="D11" s="9">
        <v>40</v>
      </c>
      <c r="E11" s="9" t="s">
        <v>30</v>
      </c>
      <c r="F11" s="9">
        <v>10</v>
      </c>
      <c r="G11" s="9">
        <v>3</v>
      </c>
      <c r="H11" s="9">
        <f>IFERROR(log[[#This Row],[Reps]]*log[[#This Row],[Sets]],"")</f>
        <v>30</v>
      </c>
      <c r="I11" s="9">
        <f>IFERROR(log[[#This Row],[Weight Value]]*log[[#This Row],[Reps]]*log[[#This Row],[Sets]],"")</f>
        <v>1200</v>
      </c>
    </row>
    <row r="12" spans="1:10" x14ac:dyDescent="0.3">
      <c r="A12" s="14">
        <v>46163</v>
      </c>
      <c r="B12" s="14" t="str">
        <f>TEXT(log[[#This Row],[Date (DAY)]],"dd MMM (ddd)")</f>
        <v>21 May (Thu)</v>
      </c>
      <c r="C12" t="s">
        <v>8</v>
      </c>
      <c r="D12" s="9">
        <v>165</v>
      </c>
      <c r="E12" s="9" t="s">
        <v>30</v>
      </c>
      <c r="F12" s="9">
        <v>10</v>
      </c>
      <c r="G12" s="9">
        <v>3</v>
      </c>
      <c r="H12" s="9">
        <f>IFERROR(log[[#This Row],[Reps]]*log[[#This Row],[Sets]],"")</f>
        <v>30</v>
      </c>
      <c r="I12" s="9">
        <f>IFERROR(log[[#This Row],[Weight Value]]*log[[#This Row],[Reps]]*log[[#This Row],[Sets]],"")</f>
        <v>4950</v>
      </c>
    </row>
    <row r="13" spans="1:10" x14ac:dyDescent="0.3">
      <c r="A13" s="14">
        <v>46163</v>
      </c>
      <c r="B13" s="14" t="str">
        <f>TEXT(log[[#This Row],[Date (DAY)]],"dd MMM (ddd)")</f>
        <v>21 May (Thu)</v>
      </c>
      <c r="C13" s="8" t="s">
        <v>45</v>
      </c>
      <c r="D13" s="9">
        <v>17.5</v>
      </c>
      <c r="E13" s="9" t="s">
        <v>30</v>
      </c>
      <c r="F13" s="9">
        <v>10</v>
      </c>
      <c r="G13" s="9">
        <v>3</v>
      </c>
      <c r="H13" s="9">
        <f>IFERROR(log[[#This Row],[Reps]]*log[[#This Row],[Sets]],"")</f>
        <v>30</v>
      </c>
      <c r="I13" s="9">
        <f>IFERROR(log[[#This Row],[Weight Value]]*log[[#This Row],[Reps]]*log[[#This Row],[Sets]],"")</f>
        <v>525</v>
      </c>
      <c r="J13" t="s">
        <v>9</v>
      </c>
    </row>
    <row r="14" spans="1:10" x14ac:dyDescent="0.3">
      <c r="A14" s="14">
        <v>46163</v>
      </c>
      <c r="B14" s="14" t="str">
        <f>TEXT(log[[#This Row],[Date (DAY)]],"dd MMM (ddd)")</f>
        <v>21 May (Thu)</v>
      </c>
      <c r="C14" t="s">
        <v>10</v>
      </c>
      <c r="D14" s="9">
        <v>6</v>
      </c>
      <c r="E14" s="9" t="s">
        <v>29</v>
      </c>
      <c r="F14" s="9">
        <v>10</v>
      </c>
      <c r="G14" s="9">
        <v>3</v>
      </c>
      <c r="H14" s="9">
        <f>IFERROR(log[[#This Row],[Reps]]*log[[#This Row],[Sets]],"")</f>
        <v>30</v>
      </c>
      <c r="I14" s="9">
        <f>IFERROR(log[[#This Row],[Weight Value]]*log[[#This Row],[Reps]]*log[[#This Row],[Sets]],"")</f>
        <v>180</v>
      </c>
      <c r="J14" t="s">
        <v>11</v>
      </c>
    </row>
    <row r="15" spans="1:10" x14ac:dyDescent="0.3">
      <c r="A15" s="14">
        <v>46168</v>
      </c>
      <c r="B15" s="14" t="str">
        <f>TEXT(log[[#This Row],[Date (DAY)]],"dd MMM (ddd)")</f>
        <v>26 May (Tue)</v>
      </c>
      <c r="C15" t="s">
        <v>4</v>
      </c>
      <c r="D15" s="9">
        <v>40</v>
      </c>
      <c r="E15" s="9" t="s">
        <v>30</v>
      </c>
      <c r="F15" s="9">
        <v>10</v>
      </c>
      <c r="G15" s="9">
        <v>3</v>
      </c>
      <c r="H15" s="9">
        <f>IFERROR(log[[#This Row],[Reps]]*log[[#This Row],[Sets]],"")</f>
        <v>30</v>
      </c>
      <c r="I15" s="9">
        <f>IFERROR(log[[#This Row],[Weight Value]]*log[[#This Row],[Reps]]*log[[#This Row],[Sets]],"")</f>
        <v>1200</v>
      </c>
    </row>
    <row r="16" spans="1:10" x14ac:dyDescent="0.3">
      <c r="A16" s="14">
        <v>46168</v>
      </c>
      <c r="B16" s="14" t="str">
        <f>TEXT(log[[#This Row],[Date (DAY)]],"dd MMM (ddd)")</f>
        <v>26 May (Tue)</v>
      </c>
      <c r="C16" t="s">
        <v>5</v>
      </c>
      <c r="D16" s="9">
        <v>60</v>
      </c>
      <c r="E16" s="9" t="s">
        <v>30</v>
      </c>
      <c r="F16" s="9">
        <v>10</v>
      </c>
      <c r="G16" s="9">
        <v>3</v>
      </c>
      <c r="H16" s="9">
        <f>IFERROR(log[[#This Row],[Reps]]*log[[#This Row],[Sets]],"")</f>
        <v>30</v>
      </c>
      <c r="I16" s="9">
        <f>IFERROR(log[[#This Row],[Weight Value]]*log[[#This Row],[Reps]]*log[[#This Row],[Sets]],"")</f>
        <v>1800</v>
      </c>
    </row>
    <row r="17" spans="1:9" x14ac:dyDescent="0.3">
      <c r="A17" s="14">
        <v>46168</v>
      </c>
      <c r="B17" s="14" t="str">
        <f>TEXT(log[[#This Row],[Date (DAY)]],"dd MMM (ddd)")</f>
        <v>26 May (Tue)</v>
      </c>
      <c r="C17" t="s">
        <v>3</v>
      </c>
      <c r="D17" s="9">
        <v>55</v>
      </c>
      <c r="E17" s="9" t="s">
        <v>30</v>
      </c>
      <c r="F17" s="9">
        <v>10</v>
      </c>
      <c r="G17" s="9">
        <v>3</v>
      </c>
      <c r="H17" s="9">
        <f>IFERROR(log[[#This Row],[Reps]]*log[[#This Row],[Sets]],"")</f>
        <v>30</v>
      </c>
      <c r="I17" s="9">
        <f>IFERROR(log[[#This Row],[Weight Value]]*log[[#This Row],[Reps]]*log[[#This Row],[Sets]],"")</f>
        <v>1650</v>
      </c>
    </row>
    <row r="18" spans="1:9" x14ac:dyDescent="0.3">
      <c r="A18" s="14">
        <v>46168</v>
      </c>
      <c r="B18" s="14" t="str">
        <f>TEXT(log[[#This Row],[Date (DAY)]],"dd MMM (ddd)")</f>
        <v>26 May (Tue)</v>
      </c>
      <c r="C18" t="s">
        <v>6</v>
      </c>
      <c r="D18" s="9">
        <v>20</v>
      </c>
      <c r="E18" s="9" t="s">
        <v>30</v>
      </c>
      <c r="F18" s="9">
        <v>6</v>
      </c>
      <c r="G18" s="9">
        <v>4</v>
      </c>
      <c r="H18" s="9">
        <f>IFERROR(log[[#This Row],[Reps]]*log[[#This Row],[Sets]],"")</f>
        <v>24</v>
      </c>
      <c r="I18" s="9">
        <f>IFERROR(log[[#This Row],[Weight Value]]*log[[#This Row],[Reps]]*log[[#This Row],[Sets]],"")</f>
        <v>480</v>
      </c>
    </row>
    <row r="19" spans="1:9" x14ac:dyDescent="0.3">
      <c r="A19" s="14">
        <v>46168</v>
      </c>
      <c r="B19" s="14" t="str">
        <f>TEXT(log[[#This Row],[Date (DAY)]],"dd MMM (ddd)")</f>
        <v>26 May (Tue)</v>
      </c>
      <c r="C19" t="s">
        <v>8</v>
      </c>
      <c r="D19" s="9">
        <v>165</v>
      </c>
      <c r="E19" s="9" t="s">
        <v>30</v>
      </c>
      <c r="F19" s="9">
        <v>14</v>
      </c>
      <c r="G19" s="9">
        <v>4</v>
      </c>
      <c r="H19" s="9">
        <f>IFERROR(log[[#This Row],[Reps]]*log[[#This Row],[Sets]],"")</f>
        <v>56</v>
      </c>
      <c r="I19" s="9">
        <f>IFERROR(log[[#This Row],[Weight Value]]*log[[#This Row],[Reps]]*log[[#This Row],[Sets]],"")</f>
        <v>9240</v>
      </c>
    </row>
    <row r="20" spans="1:9" x14ac:dyDescent="0.3">
      <c r="A20" s="14">
        <v>46168</v>
      </c>
      <c r="B20" s="14" t="str">
        <f>TEXT(log[[#This Row],[Date (DAY)]],"dd MMM (ddd)")</f>
        <v>26 May (Tue)</v>
      </c>
      <c r="C20" s="8" t="s">
        <v>45</v>
      </c>
      <c r="D20" s="9">
        <v>12.5</v>
      </c>
      <c r="E20" s="9" t="s">
        <v>30</v>
      </c>
      <c r="F20" s="9">
        <v>10</v>
      </c>
      <c r="G20" s="9">
        <v>3</v>
      </c>
      <c r="H20" s="9">
        <f>IFERROR(log[[#This Row],[Reps]]*log[[#This Row],[Sets]],"")</f>
        <v>30</v>
      </c>
      <c r="I20" s="9">
        <f>IFERROR(log[[#This Row],[Weight Value]]*log[[#This Row],[Reps]]*log[[#This Row],[Sets]],"")</f>
        <v>375</v>
      </c>
    </row>
    <row r="21" spans="1:9" x14ac:dyDescent="0.3">
      <c r="A21" s="14">
        <v>46168</v>
      </c>
      <c r="B21" s="14" t="str">
        <f>TEXT(log[[#This Row],[Date (DAY)]],"dd MMM (ddd)")</f>
        <v>26 May (Tue)</v>
      </c>
      <c r="C21" t="s">
        <v>10</v>
      </c>
      <c r="D21" s="9">
        <v>4</v>
      </c>
      <c r="E21" s="9" t="s">
        <v>29</v>
      </c>
      <c r="F21" s="9">
        <v>10</v>
      </c>
      <c r="G21" s="9">
        <v>4</v>
      </c>
      <c r="H21" s="9">
        <f>IFERROR(log[[#This Row],[Reps]]*log[[#This Row],[Sets]],"")</f>
        <v>40</v>
      </c>
      <c r="I21" s="9">
        <f>IFERROR(log[[#This Row],[Weight Value]]*log[[#This Row],[Reps]]*log[[#This Row],[Sets]],"")</f>
        <v>160</v>
      </c>
    </row>
    <row r="22" spans="1:9" x14ac:dyDescent="0.3">
      <c r="A22" s="14">
        <v>46168</v>
      </c>
      <c r="B22" s="14" t="str">
        <f>TEXT(log[[#This Row],[Date (DAY)]],"dd MMM (ddd)")</f>
        <v>26 May (Tue)</v>
      </c>
      <c r="C22" t="s">
        <v>2</v>
      </c>
      <c r="D22" s="9">
        <v>35</v>
      </c>
      <c r="E22" s="9" t="s">
        <v>30</v>
      </c>
      <c r="F22" s="9">
        <v>8</v>
      </c>
      <c r="G22" s="9">
        <v>3</v>
      </c>
      <c r="H22" s="9">
        <f>IFERROR(log[[#This Row],[Reps]]*log[[#This Row],[Sets]],"")</f>
        <v>24</v>
      </c>
      <c r="I22" s="9">
        <f>IFERROR(log[[#This Row],[Weight Value]]*log[[#This Row],[Reps]]*log[[#This Row],[Sets]],"")</f>
        <v>840</v>
      </c>
    </row>
    <row r="23" spans="1:9" x14ac:dyDescent="0.3">
      <c r="A23" s="14">
        <v>46168</v>
      </c>
      <c r="B23" s="14" t="str">
        <f>TEXT(log[[#This Row],[Date (DAY)]],"dd MMM (ddd)")</f>
        <v>26 May (Tue)</v>
      </c>
      <c r="C23" t="s">
        <v>12</v>
      </c>
      <c r="D23" s="9">
        <v>6</v>
      </c>
      <c r="E23" s="9" t="s">
        <v>29</v>
      </c>
      <c r="F23" s="9">
        <v>6</v>
      </c>
      <c r="G23" s="9">
        <v>2</v>
      </c>
      <c r="H23" s="9">
        <f>IFERROR(log[[#This Row],[Reps]]*log[[#This Row],[Sets]],"")</f>
        <v>12</v>
      </c>
      <c r="I23" s="9">
        <f>IFERROR(log[[#This Row],[Weight Value]]*log[[#This Row],[Reps]]*log[[#This Row],[Sets]],"")</f>
        <v>72</v>
      </c>
    </row>
    <row r="24" spans="1:9" x14ac:dyDescent="0.3">
      <c r="A24" s="14">
        <v>46170</v>
      </c>
      <c r="B24" s="14" t="str">
        <f>TEXT(log[[#This Row],[Date (DAY)]],"dd MMM (ddd)")</f>
        <v>28 May (Thu)</v>
      </c>
      <c r="C24" t="s">
        <v>4</v>
      </c>
      <c r="D24" s="9">
        <v>45</v>
      </c>
      <c r="E24" s="9" t="s">
        <v>30</v>
      </c>
      <c r="F24" s="9">
        <v>10</v>
      </c>
      <c r="G24" s="9">
        <v>3</v>
      </c>
      <c r="H24" s="9">
        <f>IFERROR(log[[#This Row],[Reps]]*log[[#This Row],[Sets]],"")</f>
        <v>30</v>
      </c>
      <c r="I24" s="9">
        <f>IFERROR(log[[#This Row],[Weight Value]]*log[[#This Row],[Reps]]*log[[#This Row],[Sets]],"")</f>
        <v>1350</v>
      </c>
    </row>
    <row r="25" spans="1:9" x14ac:dyDescent="0.3">
      <c r="A25" s="14">
        <v>46170</v>
      </c>
      <c r="B25" s="14" t="str">
        <f>TEXT(log[[#This Row],[Date (DAY)]],"dd MMM (ddd)")</f>
        <v>28 May (Thu)</v>
      </c>
      <c r="C25" t="s">
        <v>5</v>
      </c>
      <c r="D25" s="9">
        <v>65</v>
      </c>
      <c r="E25" s="9" t="s">
        <v>30</v>
      </c>
      <c r="F25" s="9">
        <v>10</v>
      </c>
      <c r="G25" s="9">
        <v>3</v>
      </c>
      <c r="H25" s="9">
        <f>IFERROR(log[[#This Row],[Reps]]*log[[#This Row],[Sets]],"")</f>
        <v>30</v>
      </c>
      <c r="I25" s="9">
        <f>IFERROR(log[[#This Row],[Weight Value]]*log[[#This Row],[Reps]]*log[[#This Row],[Sets]],"")</f>
        <v>1950</v>
      </c>
    </row>
    <row r="26" spans="1:9" x14ac:dyDescent="0.3">
      <c r="A26" s="14">
        <v>46170</v>
      </c>
      <c r="B26" s="14" t="str">
        <f>TEXT(log[[#This Row],[Date (DAY)]],"dd MMM (ddd)")</f>
        <v>28 May (Thu)</v>
      </c>
      <c r="C26" t="s">
        <v>3</v>
      </c>
      <c r="D26" s="9">
        <v>60</v>
      </c>
      <c r="E26" s="9" t="s">
        <v>30</v>
      </c>
      <c r="F26" s="9">
        <v>10</v>
      </c>
      <c r="G26" s="9">
        <v>3</v>
      </c>
      <c r="H26" s="9">
        <f>IFERROR(log[[#This Row],[Reps]]*log[[#This Row],[Sets]],"")</f>
        <v>30</v>
      </c>
      <c r="I26" s="9">
        <f>IFERROR(log[[#This Row],[Weight Value]]*log[[#This Row],[Reps]]*log[[#This Row],[Sets]],"")</f>
        <v>1800</v>
      </c>
    </row>
    <row r="27" spans="1:9" x14ac:dyDescent="0.3">
      <c r="A27" s="14">
        <v>46170</v>
      </c>
      <c r="B27" s="14" t="str">
        <f>TEXT(log[[#This Row],[Date (DAY)]],"dd MMM (ddd)")</f>
        <v>28 May (Thu)</v>
      </c>
      <c r="C27" t="s">
        <v>6</v>
      </c>
      <c r="D27" s="9">
        <v>22.5</v>
      </c>
      <c r="E27" s="9" t="s">
        <v>30</v>
      </c>
      <c r="F27" s="9">
        <v>8</v>
      </c>
      <c r="G27" s="9">
        <v>3</v>
      </c>
      <c r="H27" s="9">
        <f>IFERROR(log[[#This Row],[Reps]]*log[[#This Row],[Sets]],"")</f>
        <v>24</v>
      </c>
      <c r="I27" s="9">
        <f>IFERROR(log[[#This Row],[Weight Value]]*log[[#This Row],[Reps]]*log[[#This Row],[Sets]],"")</f>
        <v>540</v>
      </c>
    </row>
    <row r="28" spans="1:9" x14ac:dyDescent="0.3">
      <c r="A28" s="14">
        <v>46170</v>
      </c>
      <c r="B28" s="14" t="str">
        <f>TEXT(log[[#This Row],[Date (DAY)]],"dd MMM (ddd)")</f>
        <v>28 May (Thu)</v>
      </c>
      <c r="C28" t="s">
        <v>8</v>
      </c>
      <c r="D28" s="9">
        <v>165</v>
      </c>
      <c r="E28" s="9" t="s">
        <v>30</v>
      </c>
      <c r="F28" s="9">
        <v>14</v>
      </c>
      <c r="G28" s="9">
        <v>3</v>
      </c>
      <c r="H28" s="9">
        <f>IFERROR(log[[#This Row],[Reps]]*log[[#This Row],[Sets]],"")</f>
        <v>42</v>
      </c>
      <c r="I28" s="9">
        <f>IFERROR(log[[#This Row],[Weight Value]]*log[[#This Row],[Reps]]*log[[#This Row],[Sets]],"")</f>
        <v>6930</v>
      </c>
    </row>
    <row r="29" spans="1:9" x14ac:dyDescent="0.3">
      <c r="A29" s="14">
        <v>46170</v>
      </c>
      <c r="B29" s="14" t="str">
        <f>TEXT(log[[#This Row],[Date (DAY)]],"dd MMM (ddd)")</f>
        <v>28 May (Thu)</v>
      </c>
      <c r="C29" t="s">
        <v>2</v>
      </c>
      <c r="D29" s="9">
        <v>35</v>
      </c>
      <c r="E29" s="9" t="s">
        <v>30</v>
      </c>
      <c r="F29" s="9">
        <v>10</v>
      </c>
      <c r="G29" s="9">
        <v>3</v>
      </c>
      <c r="H29" s="9">
        <f>IFERROR(log[[#This Row],[Reps]]*log[[#This Row],[Sets]],"")</f>
        <v>30</v>
      </c>
      <c r="I29" s="9">
        <f>IFERROR(log[[#This Row],[Weight Value]]*log[[#This Row],[Reps]]*log[[#This Row],[Sets]],"")</f>
        <v>1050</v>
      </c>
    </row>
    <row r="30" spans="1:9" x14ac:dyDescent="0.3">
      <c r="A30" s="14">
        <v>46170</v>
      </c>
      <c r="B30" s="14" t="str">
        <f>TEXT(log[[#This Row],[Date (DAY)]],"dd MMM (ddd)")</f>
        <v>28 May (Thu)</v>
      </c>
      <c r="C30" t="s">
        <v>10</v>
      </c>
      <c r="D30" s="9">
        <v>4</v>
      </c>
      <c r="E30" s="9" t="s">
        <v>29</v>
      </c>
      <c r="F30" s="9">
        <v>10</v>
      </c>
      <c r="G30" s="9">
        <v>3</v>
      </c>
      <c r="H30" s="9">
        <f>IFERROR(log[[#This Row],[Reps]]*log[[#This Row],[Sets]],"")</f>
        <v>30</v>
      </c>
      <c r="I30" s="9">
        <f>IFERROR(log[[#This Row],[Weight Value]]*log[[#This Row],[Reps]]*log[[#This Row],[Sets]],"")</f>
        <v>120</v>
      </c>
    </row>
    <row r="31" spans="1:9" x14ac:dyDescent="0.3">
      <c r="A31" s="14">
        <v>46170</v>
      </c>
      <c r="B31" s="14" t="str">
        <f>TEXT(log[[#This Row],[Date (DAY)]],"dd MMM (ddd)")</f>
        <v>28 May (Thu)</v>
      </c>
      <c r="C31" t="s">
        <v>13</v>
      </c>
      <c r="D31" s="9">
        <v>4</v>
      </c>
      <c r="E31" s="9" t="s">
        <v>29</v>
      </c>
      <c r="F31" s="9">
        <v>10</v>
      </c>
      <c r="G31" s="9">
        <v>4</v>
      </c>
      <c r="H31" s="9">
        <f>IFERROR(log[[#This Row],[Reps]]*log[[#This Row],[Sets]],"")</f>
        <v>40</v>
      </c>
      <c r="I31" s="9">
        <f>IFERROR(log[[#This Row],[Weight Value]]*log[[#This Row],[Reps]]*log[[#This Row],[Sets]],"")</f>
        <v>160</v>
      </c>
    </row>
    <row r="32" spans="1:9" x14ac:dyDescent="0.3">
      <c r="A32" s="14">
        <v>46170</v>
      </c>
      <c r="B32" s="14" t="str">
        <f>TEXT(log[[#This Row],[Date (DAY)]],"dd MMM (ddd)")</f>
        <v>28 May (Thu)</v>
      </c>
      <c r="C32" t="s">
        <v>14</v>
      </c>
      <c r="D32" s="9">
        <v>4</v>
      </c>
      <c r="E32" s="9" t="s">
        <v>29</v>
      </c>
      <c r="F32" s="9">
        <v>10</v>
      </c>
      <c r="G32" s="9">
        <v>3</v>
      </c>
      <c r="H32" s="9">
        <f>IFERROR(log[[#This Row],[Reps]]*log[[#This Row],[Sets]],"")</f>
        <v>30</v>
      </c>
      <c r="I32" s="9">
        <f>IFERROR(log[[#This Row],[Weight Value]]*log[[#This Row],[Reps]]*log[[#This Row],[Sets]],"")</f>
        <v>120</v>
      </c>
    </row>
    <row r="33" spans="1:10" x14ac:dyDescent="0.3">
      <c r="A33" s="14">
        <v>46170</v>
      </c>
      <c r="B33" s="14" t="str">
        <f>TEXT(log[[#This Row],[Date (DAY)]],"dd MMM (ddd)")</f>
        <v>28 May (Thu)</v>
      </c>
      <c r="C33" s="8" t="s">
        <v>45</v>
      </c>
      <c r="D33" s="9">
        <v>12.5</v>
      </c>
      <c r="E33" s="9" t="s">
        <v>30</v>
      </c>
      <c r="F33" s="9">
        <v>12</v>
      </c>
      <c r="G33" s="9">
        <v>4</v>
      </c>
      <c r="H33" s="9">
        <f>IFERROR(log[[#This Row],[Reps]]*log[[#This Row],[Sets]],"")</f>
        <v>48</v>
      </c>
      <c r="I33" s="9">
        <f>IFERROR(log[[#This Row],[Weight Value]]*log[[#This Row],[Reps]]*log[[#This Row],[Sets]],"")</f>
        <v>600</v>
      </c>
    </row>
    <row r="34" spans="1:10" x14ac:dyDescent="0.3">
      <c r="A34" s="14">
        <v>46170</v>
      </c>
      <c r="B34" s="14" t="str">
        <f>TEXT(log[[#This Row],[Date (DAY)]],"dd MMM (ddd)")</f>
        <v>28 May (Thu)</v>
      </c>
      <c r="C34" t="s">
        <v>48</v>
      </c>
      <c r="D34" s="9">
        <v>50</v>
      </c>
      <c r="E34" s="9" t="s">
        <v>29</v>
      </c>
      <c r="F34" s="9">
        <v>8</v>
      </c>
      <c r="G34" s="9">
        <v>2</v>
      </c>
      <c r="H34" s="9">
        <f>IFERROR(log[[#This Row],[Reps]]*log[[#This Row],[Sets]],"")</f>
        <v>16</v>
      </c>
      <c r="I34" s="9">
        <f>IFERROR(log[[#This Row],[Weight Value]]*log[[#This Row],[Reps]]*log[[#This Row],[Sets]],"")</f>
        <v>800</v>
      </c>
      <c r="J34" t="s">
        <v>44</v>
      </c>
    </row>
    <row r="35" spans="1:10" x14ac:dyDescent="0.3">
      <c r="A35" s="14">
        <v>46178</v>
      </c>
      <c r="B35" s="14" t="str">
        <f>TEXT(log[[#This Row],[Date (DAY)]],"dd MMM (ddd)")</f>
        <v>05 Jun (Fri)</v>
      </c>
      <c r="C35" t="s">
        <v>4</v>
      </c>
      <c r="D35" s="9">
        <v>45</v>
      </c>
      <c r="E35" s="9" t="s">
        <v>30</v>
      </c>
      <c r="F35" s="9">
        <v>10</v>
      </c>
      <c r="G35" s="9">
        <v>3</v>
      </c>
      <c r="H35" s="9">
        <f>IFERROR(log[[#This Row],[Reps]]*log[[#This Row],[Sets]],"")</f>
        <v>30</v>
      </c>
      <c r="I35" s="9">
        <f>IFERROR(log[[#This Row],[Weight Value]]*log[[#This Row],[Reps]]*log[[#This Row],[Sets]],"")</f>
        <v>1350</v>
      </c>
      <c r="J35" s="4" t="s">
        <v>17</v>
      </c>
    </row>
    <row r="36" spans="1:10" x14ac:dyDescent="0.3">
      <c r="A36" s="14">
        <v>46178</v>
      </c>
      <c r="B36" s="14" t="str">
        <f>TEXT(log[[#This Row],[Date (DAY)]],"dd MMM (ddd)")</f>
        <v>05 Jun (Fri)</v>
      </c>
      <c r="C36" t="s">
        <v>5</v>
      </c>
      <c r="D36" s="9">
        <v>65</v>
      </c>
      <c r="E36" s="9" t="s">
        <v>30</v>
      </c>
      <c r="F36" s="9">
        <v>10</v>
      </c>
      <c r="G36" s="9">
        <v>3</v>
      </c>
      <c r="H36" s="9">
        <f>IFERROR(log[[#This Row],[Reps]]*log[[#This Row],[Sets]],"")</f>
        <v>30</v>
      </c>
      <c r="I36" s="9">
        <f>IFERROR(log[[#This Row],[Weight Value]]*log[[#This Row],[Reps]]*log[[#This Row],[Sets]],"")</f>
        <v>1950</v>
      </c>
      <c r="J36" s="4"/>
    </row>
    <row r="37" spans="1:10" x14ac:dyDescent="0.3">
      <c r="A37" s="14">
        <v>46178</v>
      </c>
      <c r="B37" s="14" t="str">
        <f>TEXT(log[[#This Row],[Date (DAY)]],"dd MMM (ddd)")</f>
        <v>05 Jun (Fri)</v>
      </c>
      <c r="C37" t="s">
        <v>3</v>
      </c>
      <c r="D37" s="9">
        <v>32</v>
      </c>
      <c r="E37" s="9" t="s">
        <v>29</v>
      </c>
      <c r="F37" s="9">
        <v>8</v>
      </c>
      <c r="G37" s="9">
        <v>3</v>
      </c>
      <c r="H37" s="9">
        <f>IFERROR(log[[#This Row],[Reps]]*log[[#This Row],[Sets]],"")</f>
        <v>24</v>
      </c>
      <c r="I37" s="9">
        <f>IFERROR(log[[#This Row],[Weight Value]]*log[[#This Row],[Reps]]*log[[#This Row],[Sets]],"")</f>
        <v>768</v>
      </c>
      <c r="J37" s="4"/>
    </row>
    <row r="38" spans="1:10" x14ac:dyDescent="0.3">
      <c r="A38" s="14">
        <v>46178</v>
      </c>
      <c r="B38" s="14" t="str">
        <f>TEXT(log[[#This Row],[Date (DAY)]],"dd MMM (ddd)")</f>
        <v>05 Jun (Fri)</v>
      </c>
      <c r="C38" t="s">
        <v>6</v>
      </c>
      <c r="D38" s="9">
        <v>25</v>
      </c>
      <c r="E38" s="9" t="s">
        <v>30</v>
      </c>
      <c r="F38" s="9">
        <v>6</v>
      </c>
      <c r="G38" s="9">
        <v>3</v>
      </c>
      <c r="H38" s="9">
        <f>IFERROR(log[[#This Row],[Reps]]*log[[#This Row],[Sets]],"")</f>
        <v>18</v>
      </c>
      <c r="I38" s="9">
        <f>IFERROR(log[[#This Row],[Weight Value]]*log[[#This Row],[Reps]]*log[[#This Row],[Sets]],"")</f>
        <v>450</v>
      </c>
      <c r="J38" s="4"/>
    </row>
    <row r="39" spans="1:10" x14ac:dyDescent="0.3">
      <c r="A39" s="14">
        <v>46178</v>
      </c>
      <c r="B39" s="14" t="str">
        <f>TEXT(log[[#This Row],[Date (DAY)]],"dd MMM (ddd)")</f>
        <v>05 Jun (Fri)</v>
      </c>
      <c r="C39" t="s">
        <v>8</v>
      </c>
      <c r="D39" s="9">
        <v>165</v>
      </c>
      <c r="E39" s="9" t="s">
        <v>30</v>
      </c>
      <c r="F39" s="9">
        <v>10</v>
      </c>
      <c r="G39" s="9">
        <v>3</v>
      </c>
      <c r="H39" s="9">
        <f>IFERROR(log[[#This Row],[Reps]]*log[[#This Row],[Sets]],"")</f>
        <v>30</v>
      </c>
      <c r="I39" s="9">
        <f>IFERROR(log[[#This Row],[Weight Value]]*log[[#This Row],[Reps]]*log[[#This Row],[Sets]],"")</f>
        <v>4950</v>
      </c>
      <c r="J39" s="4"/>
    </row>
    <row r="40" spans="1:10" x14ac:dyDescent="0.3">
      <c r="A40" s="14">
        <v>46178</v>
      </c>
      <c r="B40" s="14" t="str">
        <f>TEXT(log[[#This Row],[Date (DAY)]],"dd MMM (ddd)")</f>
        <v>05 Jun (Fri)</v>
      </c>
      <c r="C40" t="s">
        <v>10</v>
      </c>
      <c r="D40" s="9">
        <v>4</v>
      </c>
      <c r="E40" s="9" t="s">
        <v>29</v>
      </c>
      <c r="F40" s="9">
        <v>10</v>
      </c>
      <c r="G40" s="9">
        <v>3</v>
      </c>
      <c r="H40" s="9">
        <f>IFERROR(log[[#This Row],[Reps]]*log[[#This Row],[Sets]],"")</f>
        <v>30</v>
      </c>
      <c r="I40" s="9">
        <f>IFERROR(log[[#This Row],[Weight Value]]*log[[#This Row],[Reps]]*log[[#This Row],[Sets]],"")</f>
        <v>120</v>
      </c>
      <c r="J40" s="4"/>
    </row>
    <row r="41" spans="1:10" x14ac:dyDescent="0.3">
      <c r="A41" s="14">
        <v>46178</v>
      </c>
      <c r="B41" s="14" t="str">
        <f>TEXT(log[[#This Row],[Date (DAY)]],"dd MMM (ddd)")</f>
        <v>05 Jun (Fri)</v>
      </c>
      <c r="C41" t="s">
        <v>13</v>
      </c>
      <c r="D41" s="9">
        <v>4</v>
      </c>
      <c r="E41" s="9" t="s">
        <v>29</v>
      </c>
      <c r="F41" s="9">
        <v>10</v>
      </c>
      <c r="G41" s="9">
        <v>3</v>
      </c>
      <c r="H41" s="9">
        <f>IFERROR(log[[#This Row],[Reps]]*log[[#This Row],[Sets]],"")</f>
        <v>30</v>
      </c>
      <c r="I41" s="9">
        <f>IFERROR(log[[#This Row],[Weight Value]]*log[[#This Row],[Reps]]*log[[#This Row],[Sets]],"")</f>
        <v>120</v>
      </c>
      <c r="J41" s="4"/>
    </row>
    <row r="42" spans="1:10" x14ac:dyDescent="0.3">
      <c r="A42" s="14">
        <v>46178</v>
      </c>
      <c r="B42" s="14" t="str">
        <f>TEXT(log[[#This Row],[Date (DAY)]],"dd MMM (ddd)")</f>
        <v>05 Jun (Fri)</v>
      </c>
      <c r="C42" s="8" t="s">
        <v>45</v>
      </c>
      <c r="D42" s="9">
        <v>17.5</v>
      </c>
      <c r="E42" s="9" t="s">
        <v>30</v>
      </c>
      <c r="F42" s="9">
        <v>8</v>
      </c>
      <c r="G42" s="9">
        <v>3</v>
      </c>
      <c r="H42" s="9">
        <f>IFERROR(log[[#This Row],[Reps]]*log[[#This Row],[Sets]],"")</f>
        <v>24</v>
      </c>
      <c r="I42" s="9">
        <f>IFERROR(log[[#This Row],[Weight Value]]*log[[#This Row],[Reps]]*log[[#This Row],[Sets]],"")</f>
        <v>420</v>
      </c>
      <c r="J42" s="4"/>
    </row>
    <row r="43" spans="1:10" x14ac:dyDescent="0.3">
      <c r="A43" s="14">
        <v>46182</v>
      </c>
      <c r="B43" s="14" t="str">
        <f>TEXT(log[[#This Row],[Date (DAY)]],"dd MMM (ddd)")</f>
        <v>09 Jun (Tue)</v>
      </c>
      <c r="C43" t="s">
        <v>4</v>
      </c>
      <c r="D43" s="9">
        <v>45</v>
      </c>
      <c r="E43" s="9" t="s">
        <v>30</v>
      </c>
      <c r="F43" s="9">
        <v>12</v>
      </c>
      <c r="G43" s="9">
        <v>3</v>
      </c>
      <c r="H43" s="9">
        <f>IFERROR(log[[#This Row],[Reps]]*log[[#This Row],[Sets]],"")</f>
        <v>36</v>
      </c>
      <c r="I43" s="9">
        <f>IFERROR(log[[#This Row],[Weight Value]]*log[[#This Row],[Reps]]*log[[#This Row],[Sets]],"")</f>
        <v>1620</v>
      </c>
    </row>
    <row r="44" spans="1:10" x14ac:dyDescent="0.3">
      <c r="A44" s="14">
        <v>46182</v>
      </c>
      <c r="B44" s="14" t="str">
        <f>TEXT(log[[#This Row],[Date (DAY)]],"dd MMM (ddd)")</f>
        <v>09 Jun (Tue)</v>
      </c>
      <c r="C44" t="s">
        <v>5</v>
      </c>
      <c r="D44" s="9">
        <v>65</v>
      </c>
      <c r="E44" s="9" t="s">
        <v>30</v>
      </c>
      <c r="F44" s="9">
        <v>10</v>
      </c>
      <c r="G44" s="9">
        <v>3</v>
      </c>
      <c r="H44" s="9">
        <f>IFERROR(log[[#This Row],[Reps]]*log[[#This Row],[Sets]],"")</f>
        <v>30</v>
      </c>
      <c r="I44" s="9">
        <f>IFERROR(log[[#This Row],[Weight Value]]*log[[#This Row],[Reps]]*log[[#This Row],[Sets]],"")</f>
        <v>1950</v>
      </c>
      <c r="J44" t="s">
        <v>18</v>
      </c>
    </row>
    <row r="45" spans="1:10" x14ac:dyDescent="0.3">
      <c r="A45" s="14">
        <v>46182</v>
      </c>
      <c r="B45" s="14" t="str">
        <f>TEXT(log[[#This Row],[Date (DAY)]],"dd MMM (ddd)")</f>
        <v>09 Jun (Tue)</v>
      </c>
      <c r="C45" t="s">
        <v>3</v>
      </c>
      <c r="D45" s="9">
        <v>32</v>
      </c>
      <c r="E45" s="9" t="s">
        <v>29</v>
      </c>
      <c r="F45" s="9">
        <v>10</v>
      </c>
      <c r="G45" s="9">
        <v>3</v>
      </c>
      <c r="H45" s="9">
        <f>IFERROR(log[[#This Row],[Reps]]*log[[#This Row],[Sets]],"")</f>
        <v>30</v>
      </c>
      <c r="I45" s="9">
        <f>IFERROR(log[[#This Row],[Weight Value]]*log[[#This Row],[Reps]]*log[[#This Row],[Sets]],"")</f>
        <v>960</v>
      </c>
    </row>
    <row r="46" spans="1:10" x14ac:dyDescent="0.3">
      <c r="A46" s="14">
        <v>46182</v>
      </c>
      <c r="B46" s="14" t="str">
        <f>TEXT(log[[#This Row],[Date (DAY)]],"dd MMM (ddd)")</f>
        <v>09 Jun (Tue)</v>
      </c>
      <c r="C46" t="s">
        <v>2</v>
      </c>
      <c r="D46" s="9">
        <v>35</v>
      </c>
      <c r="E46" s="9" t="s">
        <v>29</v>
      </c>
      <c r="F46" s="9">
        <v>10</v>
      </c>
      <c r="G46" s="9">
        <v>3</v>
      </c>
      <c r="H46" s="9">
        <f>IFERROR(log[[#This Row],[Reps]]*log[[#This Row],[Sets]],"")</f>
        <v>30</v>
      </c>
      <c r="I46" s="9">
        <f>IFERROR(log[[#This Row],[Weight Value]]*log[[#This Row],[Reps]]*log[[#This Row],[Sets]],"")</f>
        <v>1050</v>
      </c>
    </row>
    <row r="47" spans="1:10" x14ac:dyDescent="0.3">
      <c r="A47" s="14">
        <v>46182</v>
      </c>
      <c r="B47" s="14" t="str">
        <f>TEXT(log[[#This Row],[Date (DAY)]],"dd MMM (ddd)")</f>
        <v>09 Jun (Tue)</v>
      </c>
      <c r="C47" t="s">
        <v>6</v>
      </c>
      <c r="D47" s="9">
        <v>25</v>
      </c>
      <c r="E47" s="9" t="s">
        <v>30</v>
      </c>
      <c r="F47" s="9">
        <v>7</v>
      </c>
      <c r="G47" s="9">
        <v>3</v>
      </c>
      <c r="H47" s="9">
        <f>IFERROR(log[[#This Row],[Reps]]*log[[#This Row],[Sets]],"")</f>
        <v>21</v>
      </c>
      <c r="I47" s="9">
        <f>IFERROR(log[[#This Row],[Weight Value]]*log[[#This Row],[Reps]]*log[[#This Row],[Sets]],"")</f>
        <v>525</v>
      </c>
      <c r="J47" t="s">
        <v>38</v>
      </c>
    </row>
    <row r="48" spans="1:10" x14ac:dyDescent="0.3">
      <c r="A48" s="14">
        <v>46182</v>
      </c>
      <c r="B48" s="14" t="str">
        <f>TEXT(log[[#This Row],[Date (DAY)]],"dd MMM (ddd)")</f>
        <v>09 Jun (Tue)</v>
      </c>
      <c r="C48" t="s">
        <v>8</v>
      </c>
      <c r="D48" s="9">
        <v>190</v>
      </c>
      <c r="E48" s="9" t="s">
        <v>30</v>
      </c>
      <c r="F48" s="9">
        <v>10</v>
      </c>
      <c r="G48" s="9">
        <v>3</v>
      </c>
      <c r="H48" s="9">
        <f>IFERROR(log[[#This Row],[Reps]]*log[[#This Row],[Sets]],"")</f>
        <v>30</v>
      </c>
      <c r="I48" s="9">
        <f>IFERROR(log[[#This Row],[Weight Value]]*log[[#This Row],[Reps]]*log[[#This Row],[Sets]],"")</f>
        <v>5700</v>
      </c>
      <c r="J48" t="s">
        <v>19</v>
      </c>
    </row>
    <row r="49" spans="1:10" x14ac:dyDescent="0.3">
      <c r="A49" s="14">
        <v>46182</v>
      </c>
      <c r="B49" s="14" t="str">
        <f>TEXT(log[[#This Row],[Date (DAY)]],"dd MMM (ddd)")</f>
        <v>09 Jun (Tue)</v>
      </c>
      <c r="C49" t="s">
        <v>10</v>
      </c>
      <c r="D49" s="9">
        <v>4</v>
      </c>
      <c r="E49" s="9" t="s">
        <v>29</v>
      </c>
      <c r="F49" s="9">
        <v>10</v>
      </c>
      <c r="G49" s="9">
        <v>4</v>
      </c>
      <c r="H49" s="9">
        <f>IFERROR(log[[#This Row],[Reps]]*log[[#This Row],[Sets]],"")</f>
        <v>40</v>
      </c>
      <c r="I49" s="9">
        <f>IFERROR(log[[#This Row],[Weight Value]]*log[[#This Row],[Reps]]*log[[#This Row],[Sets]],"")</f>
        <v>160</v>
      </c>
    </row>
    <row r="50" spans="1:10" x14ac:dyDescent="0.3">
      <c r="A50" s="14">
        <v>46182</v>
      </c>
      <c r="B50" s="14" t="str">
        <f>TEXT(log[[#This Row],[Date (DAY)]],"dd MMM (ddd)")</f>
        <v>09 Jun (Tue)</v>
      </c>
      <c r="C50" t="s">
        <v>13</v>
      </c>
      <c r="D50" s="9">
        <v>4</v>
      </c>
      <c r="E50" s="9" t="s">
        <v>29</v>
      </c>
      <c r="F50" s="9">
        <v>10</v>
      </c>
      <c r="G50" s="9">
        <v>3</v>
      </c>
      <c r="H50" s="9">
        <f>IFERROR(log[[#This Row],[Reps]]*log[[#This Row],[Sets]],"")</f>
        <v>30</v>
      </c>
      <c r="I50" s="9">
        <f>IFERROR(log[[#This Row],[Weight Value]]*log[[#This Row],[Reps]]*log[[#This Row],[Sets]],"")</f>
        <v>120</v>
      </c>
      <c r="J50" t="s">
        <v>20</v>
      </c>
    </row>
    <row r="51" spans="1:10" x14ac:dyDescent="0.3">
      <c r="A51" s="14">
        <v>46182</v>
      </c>
      <c r="B51" s="14" t="str">
        <f>TEXT(log[[#This Row],[Date (DAY)]],"dd MMM (ddd)")</f>
        <v>09 Jun (Tue)</v>
      </c>
      <c r="C51" s="8" t="s">
        <v>45</v>
      </c>
      <c r="D51" s="9">
        <v>17.5</v>
      </c>
      <c r="E51" s="9" t="s">
        <v>30</v>
      </c>
      <c r="F51" s="9">
        <v>10</v>
      </c>
      <c r="G51" s="9">
        <v>4</v>
      </c>
      <c r="H51" s="9">
        <f>IFERROR(log[[#This Row],[Reps]]*log[[#This Row],[Sets]],"")</f>
        <v>40</v>
      </c>
      <c r="I51" s="9">
        <f>IFERROR(log[[#This Row],[Weight Value]]*log[[#This Row],[Reps]]*log[[#This Row],[Sets]],"")</f>
        <v>700</v>
      </c>
      <c r="J51" t="s">
        <v>46</v>
      </c>
    </row>
    <row r="52" spans="1:10" x14ac:dyDescent="0.3">
      <c r="A52" s="14">
        <v>46182</v>
      </c>
      <c r="B52" s="14" t="str">
        <f>TEXT(log[[#This Row],[Date (DAY)]],"dd MMM (ddd)")</f>
        <v>09 Jun (Tue)</v>
      </c>
      <c r="C52" t="s">
        <v>48</v>
      </c>
      <c r="D52" s="7">
        <v>50</v>
      </c>
      <c r="E52" s="7" t="s">
        <v>29</v>
      </c>
      <c r="F52" s="9">
        <v>10</v>
      </c>
      <c r="G52" s="9">
        <v>3</v>
      </c>
      <c r="H52" s="9">
        <f>IFERROR(log[[#This Row],[Reps]]*log[[#This Row],[Sets]],"")</f>
        <v>30</v>
      </c>
      <c r="I52" s="9">
        <f>IFERROR(log[[#This Row],[Weight Value]]*log[[#This Row],[Reps]]*log[[#This Row],[Sets]],"")</f>
        <v>1500</v>
      </c>
      <c r="J52" t="s">
        <v>43</v>
      </c>
    </row>
    <row r="53" spans="1:10" x14ac:dyDescent="0.3">
      <c r="A53" s="14">
        <v>46184</v>
      </c>
      <c r="B53" s="14" t="str">
        <f>TEXT(log[[#This Row],[Date (DAY)]],"dd MMM (ddd)")</f>
        <v>11 Jun (Thu)</v>
      </c>
      <c r="C53" t="s">
        <v>4</v>
      </c>
      <c r="D53" s="9">
        <v>50</v>
      </c>
      <c r="E53" s="9" t="s">
        <v>30</v>
      </c>
      <c r="F53" s="9">
        <v>10</v>
      </c>
      <c r="G53" s="9">
        <v>4</v>
      </c>
      <c r="H53" s="9">
        <f>IFERROR(log[[#This Row],[Reps]]*log[[#This Row],[Sets]],"")</f>
        <v>40</v>
      </c>
      <c r="I53" s="9">
        <f>IFERROR(log[[#This Row],[Weight Value]]*log[[#This Row],[Reps]]*log[[#This Row],[Sets]],"")</f>
        <v>2000</v>
      </c>
    </row>
    <row r="54" spans="1:10" x14ac:dyDescent="0.3">
      <c r="A54" s="14">
        <v>46184</v>
      </c>
      <c r="B54" s="14" t="str">
        <f>TEXT(log[[#This Row],[Date (DAY)]],"dd MMM (ddd)")</f>
        <v>11 Jun (Thu)</v>
      </c>
      <c r="C54" t="s">
        <v>5</v>
      </c>
      <c r="D54" s="9">
        <v>70</v>
      </c>
      <c r="E54" s="9" t="s">
        <v>30</v>
      </c>
      <c r="F54" s="9">
        <v>10</v>
      </c>
      <c r="G54" s="9">
        <v>3</v>
      </c>
      <c r="H54" s="9">
        <f>IFERROR(log[[#This Row],[Reps]]*log[[#This Row],[Sets]],"")</f>
        <v>30</v>
      </c>
      <c r="I54" s="9">
        <f>IFERROR(log[[#This Row],[Weight Value]]*log[[#This Row],[Reps]]*log[[#This Row],[Sets]],"")</f>
        <v>2100</v>
      </c>
      <c r="J54" t="s">
        <v>21</v>
      </c>
    </row>
    <row r="55" spans="1:10" x14ac:dyDescent="0.3">
      <c r="A55" s="14">
        <v>46184</v>
      </c>
      <c r="B55" s="14" t="str">
        <f>TEXT(log[[#This Row],[Date (DAY)]],"dd MMM (ddd)")</f>
        <v>11 Jun (Thu)</v>
      </c>
      <c r="C55" t="s">
        <v>3</v>
      </c>
      <c r="D55" s="9">
        <v>32</v>
      </c>
      <c r="E55" s="9" t="s">
        <v>29</v>
      </c>
      <c r="F55" s="9">
        <v>10</v>
      </c>
      <c r="G55" s="9">
        <v>4</v>
      </c>
      <c r="H55" s="9">
        <f>IFERROR(log[[#This Row],[Reps]]*log[[#This Row],[Sets]],"")</f>
        <v>40</v>
      </c>
      <c r="I55" s="9">
        <f>IFERROR(log[[#This Row],[Weight Value]]*log[[#This Row],[Reps]]*log[[#This Row],[Sets]],"")</f>
        <v>1280</v>
      </c>
    </row>
    <row r="56" spans="1:10" x14ac:dyDescent="0.3">
      <c r="A56" s="14">
        <v>46184</v>
      </c>
      <c r="B56" s="14" t="str">
        <f>TEXT(log[[#This Row],[Date (DAY)]],"dd MMM (ddd)")</f>
        <v>11 Jun (Thu)</v>
      </c>
      <c r="C56" t="s">
        <v>2</v>
      </c>
      <c r="D56" s="9">
        <v>40</v>
      </c>
      <c r="E56" s="9" t="s">
        <v>29</v>
      </c>
      <c r="F56" s="9">
        <v>10</v>
      </c>
      <c r="G56" s="9">
        <v>1</v>
      </c>
      <c r="H56" s="9">
        <f>IFERROR(log[[#This Row],[Reps]]*log[[#This Row],[Sets]],"")</f>
        <v>10</v>
      </c>
      <c r="I56" s="9">
        <f>IFERROR(log[[#This Row],[Weight Value]]*log[[#This Row],[Reps]]*log[[#This Row],[Sets]],"")</f>
        <v>400</v>
      </c>
    </row>
    <row r="57" spans="1:10" x14ac:dyDescent="0.3">
      <c r="A57" s="14">
        <v>46184</v>
      </c>
      <c r="B57" s="14" t="str">
        <f>TEXT(log[[#This Row],[Date (DAY)]],"dd MMM (ddd)")</f>
        <v>11 Jun (Thu)</v>
      </c>
      <c r="C57" t="s">
        <v>6</v>
      </c>
      <c r="D57" s="9">
        <v>25</v>
      </c>
      <c r="E57" s="9" t="s">
        <v>30</v>
      </c>
      <c r="F57" s="9">
        <v>10</v>
      </c>
      <c r="G57" s="9">
        <v>3</v>
      </c>
      <c r="H57" s="9">
        <f>IFERROR(log[[#This Row],[Reps]]*log[[#This Row],[Sets]],"")</f>
        <v>30</v>
      </c>
      <c r="I57" s="9">
        <f>IFERROR(log[[#This Row],[Weight Value]]*log[[#This Row],[Reps]]*log[[#This Row],[Sets]],"")</f>
        <v>750</v>
      </c>
      <c r="J57" t="s">
        <v>22</v>
      </c>
    </row>
    <row r="58" spans="1:10" x14ac:dyDescent="0.3">
      <c r="A58" s="14">
        <v>46184</v>
      </c>
      <c r="B58" s="14" t="str">
        <f>TEXT(log[[#This Row],[Date (DAY)]],"dd MMM (ddd)")</f>
        <v>11 Jun (Thu)</v>
      </c>
      <c r="C58" t="s">
        <v>8</v>
      </c>
      <c r="D58" s="9">
        <v>190</v>
      </c>
      <c r="E58" s="9" t="s">
        <v>30</v>
      </c>
      <c r="F58" s="9">
        <v>10</v>
      </c>
      <c r="G58" s="9">
        <v>3</v>
      </c>
      <c r="H58" s="9">
        <f>IFERROR(log[[#This Row],[Reps]]*log[[#This Row],[Sets]],"")</f>
        <v>30</v>
      </c>
      <c r="I58" s="9">
        <f>IFERROR(log[[#This Row],[Weight Value]]*log[[#This Row],[Reps]]*log[[#This Row],[Sets]],"")</f>
        <v>5700</v>
      </c>
      <c r="J58" t="s">
        <v>23</v>
      </c>
    </row>
    <row r="59" spans="1:10" x14ac:dyDescent="0.3">
      <c r="A59" s="14">
        <v>46184</v>
      </c>
      <c r="B59" s="14" t="str">
        <f>TEXT(log[[#This Row],[Date (DAY)]],"dd MMM (ddd)")</f>
        <v>11 Jun (Thu)</v>
      </c>
      <c r="C59" t="s">
        <v>24</v>
      </c>
      <c r="D59" s="9">
        <v>4</v>
      </c>
      <c r="E59" s="9" t="s">
        <v>29</v>
      </c>
      <c r="F59" s="9">
        <v>10</v>
      </c>
      <c r="G59" s="9">
        <v>3</v>
      </c>
      <c r="H59" s="9">
        <f>IFERROR(log[[#This Row],[Reps]]*log[[#This Row],[Sets]],"")</f>
        <v>30</v>
      </c>
      <c r="I59" s="9">
        <f>IFERROR(log[[#This Row],[Weight Value]]*log[[#This Row],[Reps]]*log[[#This Row],[Sets]],"")</f>
        <v>120</v>
      </c>
    </row>
    <row r="60" spans="1:10" x14ac:dyDescent="0.3">
      <c r="A60" s="14">
        <v>46184</v>
      </c>
      <c r="B60" s="14" t="str">
        <f>TEXT(log[[#This Row],[Date (DAY)]],"dd MMM (ddd)")</f>
        <v>11 Jun (Thu)</v>
      </c>
      <c r="C60" t="s">
        <v>13</v>
      </c>
      <c r="D60" s="9">
        <v>4</v>
      </c>
      <c r="E60" s="9" t="s">
        <v>29</v>
      </c>
      <c r="F60" s="9">
        <v>10</v>
      </c>
      <c r="G60" s="9">
        <v>3</v>
      </c>
      <c r="H60" s="9">
        <f>IFERROR(log[[#This Row],[Reps]]*log[[#This Row],[Sets]],"")</f>
        <v>30</v>
      </c>
      <c r="I60" s="9">
        <f>IFERROR(log[[#This Row],[Weight Value]]*log[[#This Row],[Reps]]*log[[#This Row],[Sets]],"")</f>
        <v>120</v>
      </c>
      <c r="J60" t="s">
        <v>40</v>
      </c>
    </row>
    <row r="61" spans="1:10" x14ac:dyDescent="0.3">
      <c r="A61" s="14">
        <v>46184</v>
      </c>
      <c r="B61" s="14" t="str">
        <f>TEXT(log[[#This Row],[Date (DAY)]],"dd MMM (ddd)")</f>
        <v>11 Jun (Thu)</v>
      </c>
      <c r="C61" s="8" t="s">
        <v>45</v>
      </c>
      <c r="D61" s="9">
        <v>17.5</v>
      </c>
      <c r="E61" s="9" t="s">
        <v>30</v>
      </c>
      <c r="F61" s="9">
        <v>12</v>
      </c>
      <c r="G61" s="9">
        <v>4</v>
      </c>
      <c r="H61" s="9">
        <f>IFERROR(log[[#This Row],[Reps]]*log[[#This Row],[Sets]],"")</f>
        <v>48</v>
      </c>
      <c r="I61" s="9">
        <f>IFERROR(log[[#This Row],[Weight Value]]*log[[#This Row],[Reps]]*log[[#This Row],[Sets]],"")</f>
        <v>840</v>
      </c>
      <c r="J61" t="s">
        <v>46</v>
      </c>
    </row>
    <row r="62" spans="1:10" x14ac:dyDescent="0.3">
      <c r="A62" s="14">
        <v>46189</v>
      </c>
      <c r="B62" s="14" t="str">
        <f>TEXT(log[[#This Row],[Date (DAY)]],"dd MMM (ddd)")</f>
        <v>16 Jun (Tue)</v>
      </c>
      <c r="C62" s="2" t="s">
        <v>3</v>
      </c>
      <c r="D62" s="6">
        <v>32</v>
      </c>
      <c r="E62" s="6" t="s">
        <v>29</v>
      </c>
      <c r="F62" s="9">
        <v>10</v>
      </c>
      <c r="G62" s="9">
        <v>4</v>
      </c>
      <c r="H62" s="9">
        <f>IFERROR(log[[#This Row],[Reps]]*log[[#This Row],[Sets]],"")</f>
        <v>40</v>
      </c>
      <c r="I62" s="9">
        <f>IFERROR(log[[#This Row],[Weight Value]]*log[[#This Row],[Reps]]*log[[#This Row],[Sets]],"")</f>
        <v>1280</v>
      </c>
      <c r="J62" s="2"/>
    </row>
    <row r="63" spans="1:10" x14ac:dyDescent="0.3">
      <c r="A63" s="14">
        <v>46189</v>
      </c>
      <c r="B63" s="14" t="str">
        <f>TEXT(log[[#This Row],[Date (DAY)]],"dd MMM (ddd)")</f>
        <v>16 Jun (Tue)</v>
      </c>
      <c r="C63" s="2" t="s">
        <v>4</v>
      </c>
      <c r="D63" s="6">
        <v>55</v>
      </c>
      <c r="E63" s="6" t="s">
        <v>30</v>
      </c>
      <c r="F63" s="9">
        <v>10</v>
      </c>
      <c r="G63" s="9">
        <v>4</v>
      </c>
      <c r="H63" s="9">
        <f>IFERROR(log[[#This Row],[Reps]]*log[[#This Row],[Sets]],"")</f>
        <v>40</v>
      </c>
      <c r="I63" s="9">
        <f>IFERROR(log[[#This Row],[Weight Value]]*log[[#This Row],[Reps]]*log[[#This Row],[Sets]],"")</f>
        <v>2200</v>
      </c>
      <c r="J63" t="s">
        <v>33</v>
      </c>
    </row>
    <row r="64" spans="1:10" x14ac:dyDescent="0.3">
      <c r="A64" s="14">
        <v>46189</v>
      </c>
      <c r="B64" s="14" t="str">
        <f>TEXT(log[[#This Row],[Date (DAY)]],"dd MMM (ddd)")</f>
        <v>16 Jun (Tue)</v>
      </c>
      <c r="C64" s="2" t="s">
        <v>6</v>
      </c>
      <c r="D64" s="6">
        <v>25</v>
      </c>
      <c r="E64" s="6" t="s">
        <v>30</v>
      </c>
      <c r="F64" s="9">
        <v>12</v>
      </c>
      <c r="G64" s="9">
        <v>5</v>
      </c>
      <c r="H64" s="9">
        <f>IFERROR(log[[#This Row],[Reps]]*log[[#This Row],[Sets]],"")</f>
        <v>60</v>
      </c>
      <c r="I64" s="9">
        <f>IFERROR(log[[#This Row],[Weight Value]]*log[[#This Row],[Reps]]*log[[#This Row],[Sets]],"")</f>
        <v>1500</v>
      </c>
      <c r="J64" t="s">
        <v>34</v>
      </c>
    </row>
    <row r="65" spans="1:10" x14ac:dyDescent="0.3">
      <c r="A65" s="14">
        <v>46189</v>
      </c>
      <c r="B65" s="14" t="str">
        <f>TEXT(log[[#This Row],[Date (DAY)]],"dd MMM (ddd)")</f>
        <v>16 Jun (Tue)</v>
      </c>
      <c r="C65" s="2" t="s">
        <v>5</v>
      </c>
      <c r="D65" s="6">
        <v>70</v>
      </c>
      <c r="E65" s="6" t="s">
        <v>30</v>
      </c>
      <c r="F65" s="9">
        <v>10</v>
      </c>
      <c r="G65" s="9">
        <v>3</v>
      </c>
      <c r="H65" s="9">
        <f>IFERROR(log[[#This Row],[Reps]]*log[[#This Row],[Sets]],"")</f>
        <v>30</v>
      </c>
      <c r="I65" s="9">
        <f>IFERROR(log[[#This Row],[Weight Value]]*log[[#This Row],[Reps]]*log[[#This Row],[Sets]],"")</f>
        <v>2100</v>
      </c>
      <c r="J65" s="2" t="s">
        <v>25</v>
      </c>
    </row>
    <row r="66" spans="1:10" x14ac:dyDescent="0.3">
      <c r="A66" s="14">
        <v>46189</v>
      </c>
      <c r="B66" s="14" t="str">
        <f>TEXT(log[[#This Row],[Date (DAY)]],"dd MMM (ddd)")</f>
        <v>16 Jun (Tue)</v>
      </c>
      <c r="C66" s="2" t="s">
        <v>10</v>
      </c>
      <c r="D66" s="6">
        <v>4</v>
      </c>
      <c r="E66" s="6" t="s">
        <v>29</v>
      </c>
      <c r="F66" s="9">
        <v>10</v>
      </c>
      <c r="G66" s="9">
        <v>3</v>
      </c>
      <c r="H66" s="9">
        <f>IFERROR(log[[#This Row],[Reps]]*log[[#This Row],[Sets]],"")</f>
        <v>30</v>
      </c>
      <c r="I66" s="9">
        <f>IFERROR(log[[#This Row],[Weight Value]]*log[[#This Row],[Reps]]*log[[#This Row],[Sets]],"")</f>
        <v>120</v>
      </c>
      <c r="J66" s="2"/>
    </row>
    <row r="67" spans="1:10" x14ac:dyDescent="0.3">
      <c r="A67" s="14">
        <v>46189</v>
      </c>
      <c r="B67" s="14" t="str">
        <f>TEXT(log[[#This Row],[Date (DAY)]],"dd MMM (ddd)")</f>
        <v>16 Jun (Tue)</v>
      </c>
      <c r="C67" s="2" t="s">
        <v>13</v>
      </c>
      <c r="D67" s="6">
        <v>4</v>
      </c>
      <c r="E67" s="6" t="s">
        <v>29</v>
      </c>
      <c r="F67" s="9">
        <v>10</v>
      </c>
      <c r="G67" s="9">
        <v>3</v>
      </c>
      <c r="H67" s="9">
        <f>IFERROR(log[[#This Row],[Reps]]*log[[#This Row],[Sets]],"")</f>
        <v>30</v>
      </c>
      <c r="I67" s="9">
        <f>IFERROR(log[[#This Row],[Weight Value]]*log[[#This Row],[Reps]]*log[[#This Row],[Sets]],"")</f>
        <v>120</v>
      </c>
      <c r="J67" s="2"/>
    </row>
    <row r="68" spans="1:10" x14ac:dyDescent="0.3">
      <c r="A68" s="14">
        <v>46189</v>
      </c>
      <c r="B68" s="14" t="str">
        <f>TEXT(log[[#This Row],[Date (DAY)]],"dd MMM (ddd)")</f>
        <v>16 Jun (Tue)</v>
      </c>
      <c r="C68" s="2" t="s">
        <v>8</v>
      </c>
      <c r="D68" s="6">
        <v>190</v>
      </c>
      <c r="E68" s="6" t="s">
        <v>30</v>
      </c>
      <c r="F68" s="9">
        <v>10</v>
      </c>
      <c r="G68" s="9">
        <v>3</v>
      </c>
      <c r="H68" s="9">
        <f>IFERROR(log[[#This Row],[Reps]]*log[[#This Row],[Sets]],"")</f>
        <v>30</v>
      </c>
      <c r="I68" s="9">
        <f>IFERROR(log[[#This Row],[Weight Value]]*log[[#This Row],[Reps]]*log[[#This Row],[Sets]],"")</f>
        <v>5700</v>
      </c>
      <c r="J68" s="2"/>
    </row>
    <row r="69" spans="1:10" x14ac:dyDescent="0.3">
      <c r="A69" s="14">
        <v>46189</v>
      </c>
      <c r="B69" s="14" t="str">
        <f>TEXT(log[[#This Row],[Date (DAY)]],"dd MMM (ddd)")</f>
        <v>16 Jun (Tue)</v>
      </c>
      <c r="C69" s="8" t="s">
        <v>45</v>
      </c>
      <c r="D69" s="6">
        <v>17.5</v>
      </c>
      <c r="E69" s="9" t="s">
        <v>30</v>
      </c>
      <c r="F69" s="9">
        <v>12</v>
      </c>
      <c r="G69" s="9">
        <v>4</v>
      </c>
      <c r="H69" s="9">
        <f>IFERROR(log[[#This Row],[Reps]]*log[[#This Row],[Sets]],"")</f>
        <v>48</v>
      </c>
      <c r="I69" s="9">
        <f>IFERROR(log[[#This Row],[Weight Value]]*log[[#This Row],[Reps]]*log[[#This Row],[Sets]],"")</f>
        <v>840</v>
      </c>
      <c r="J69" s="2" t="s">
        <v>47</v>
      </c>
    </row>
    <row r="70" spans="1:10" x14ac:dyDescent="0.3">
      <c r="A70" s="14">
        <v>46191</v>
      </c>
      <c r="B70" s="14" t="str">
        <f>TEXT(log[[#This Row],[Date (DAY)]],"dd MMM (ddd)")</f>
        <v>18 Jun (Thu)</v>
      </c>
      <c r="C70" s="2" t="s">
        <v>4</v>
      </c>
      <c r="D70" s="6">
        <v>55</v>
      </c>
      <c r="E70" s="6" t="s">
        <v>30</v>
      </c>
      <c r="F70" s="9">
        <v>10</v>
      </c>
      <c r="G70" s="9">
        <v>4</v>
      </c>
      <c r="H70" s="9">
        <f>IFERROR(log[[#This Row],[Reps]]*log[[#This Row],[Sets]],"")</f>
        <v>40</v>
      </c>
      <c r="I70" s="9">
        <f>IFERROR(log[[#This Row],[Weight Value]]*log[[#This Row],[Reps]]*log[[#This Row],[Sets]],"")</f>
        <v>2200</v>
      </c>
      <c r="J70" t="s">
        <v>35</v>
      </c>
    </row>
    <row r="71" spans="1:10" x14ac:dyDescent="0.3">
      <c r="A71" s="14">
        <v>46191</v>
      </c>
      <c r="B71" s="14" t="str">
        <f>TEXT(log[[#This Row],[Date (DAY)]],"dd MMM (ddd)")</f>
        <v>18 Jun (Thu)</v>
      </c>
      <c r="C71" s="2" t="s">
        <v>5</v>
      </c>
      <c r="D71" s="6">
        <v>75</v>
      </c>
      <c r="E71" s="6" t="s">
        <v>30</v>
      </c>
      <c r="F71" s="9">
        <v>10</v>
      </c>
      <c r="G71" s="9">
        <v>4</v>
      </c>
      <c r="H71" s="9">
        <f>IFERROR(log[[#This Row],[Reps]]*log[[#This Row],[Sets]],"")</f>
        <v>40</v>
      </c>
      <c r="I71" s="9">
        <f>IFERROR(log[[#This Row],[Weight Value]]*log[[#This Row],[Reps]]*log[[#This Row],[Sets]],"")</f>
        <v>3000</v>
      </c>
      <c r="J71" s="2"/>
    </row>
    <row r="72" spans="1:10" x14ac:dyDescent="0.3">
      <c r="A72" s="14">
        <v>46191</v>
      </c>
      <c r="B72" s="14" t="str">
        <f>TEXT(log[[#This Row],[Date (DAY)]],"dd MMM (ddd)")</f>
        <v>18 Jun (Thu)</v>
      </c>
      <c r="C72" s="2" t="s">
        <v>3</v>
      </c>
      <c r="D72" s="6">
        <v>36.6</v>
      </c>
      <c r="E72" s="6" t="s">
        <v>29</v>
      </c>
      <c r="F72" s="9">
        <v>10</v>
      </c>
      <c r="G72" s="9">
        <v>4</v>
      </c>
      <c r="H72" s="9">
        <f>IFERROR(log[[#This Row],[Reps]]*log[[#This Row],[Sets]],"")</f>
        <v>40</v>
      </c>
      <c r="I72" s="9">
        <f>IFERROR(log[[#This Row],[Weight Value]]*log[[#This Row],[Reps]]*log[[#This Row],[Sets]],"")</f>
        <v>1464</v>
      </c>
      <c r="J72" s="2"/>
    </row>
    <row r="73" spans="1:10" x14ac:dyDescent="0.3">
      <c r="A73" s="14">
        <v>46191</v>
      </c>
      <c r="B73" s="14" t="str">
        <f>TEXT(log[[#This Row],[Date (DAY)]],"dd MMM (ddd)")</f>
        <v>18 Jun (Thu)</v>
      </c>
      <c r="C73" s="2" t="s">
        <v>6</v>
      </c>
      <c r="D73" s="6">
        <v>27.5</v>
      </c>
      <c r="E73" s="6" t="s">
        <v>30</v>
      </c>
      <c r="F73" s="9">
        <v>10</v>
      </c>
      <c r="G73" s="9">
        <v>4</v>
      </c>
      <c r="H73" s="9">
        <f>IFERROR(log[[#This Row],[Reps]]*log[[#This Row],[Sets]],"")</f>
        <v>40</v>
      </c>
      <c r="I73" s="9">
        <f>IFERROR(log[[#This Row],[Weight Value]]*log[[#This Row],[Reps]]*log[[#This Row],[Sets]],"")</f>
        <v>1100</v>
      </c>
      <c r="J73" t="s">
        <v>36</v>
      </c>
    </row>
    <row r="74" spans="1:10" x14ac:dyDescent="0.3">
      <c r="A74" s="14">
        <v>46191</v>
      </c>
      <c r="B74" s="14" t="str">
        <f>TEXT(log[[#This Row],[Date (DAY)]],"dd MMM (ddd)")</f>
        <v>18 Jun (Thu)</v>
      </c>
      <c r="C74" s="2" t="s">
        <v>10</v>
      </c>
      <c r="D74" s="6">
        <v>4</v>
      </c>
      <c r="E74" s="6" t="s">
        <v>29</v>
      </c>
      <c r="F74" s="9">
        <v>10</v>
      </c>
      <c r="G74" s="9">
        <v>3</v>
      </c>
      <c r="H74" s="9">
        <f>IFERROR(log[[#This Row],[Reps]]*log[[#This Row],[Sets]],"")</f>
        <v>30</v>
      </c>
      <c r="I74" s="9">
        <f>IFERROR(log[[#This Row],[Weight Value]]*log[[#This Row],[Reps]]*log[[#This Row],[Sets]],"")</f>
        <v>120</v>
      </c>
      <c r="J74" s="2" t="s">
        <v>49</v>
      </c>
    </row>
    <row r="75" spans="1:10" x14ac:dyDescent="0.3">
      <c r="A75" s="14">
        <v>46191</v>
      </c>
      <c r="B75" s="14" t="str">
        <f>TEXT(log[[#This Row],[Date (DAY)]],"dd MMM (ddd)")</f>
        <v>18 Jun (Thu)</v>
      </c>
      <c r="C75" s="2" t="s">
        <v>13</v>
      </c>
      <c r="D75" s="6">
        <v>4</v>
      </c>
      <c r="E75" s="6" t="s">
        <v>29</v>
      </c>
      <c r="F75" s="9">
        <v>10</v>
      </c>
      <c r="G75" s="9">
        <v>3</v>
      </c>
      <c r="H75" s="9">
        <f>IFERROR(log[[#This Row],[Reps]]*log[[#This Row],[Sets]],"")</f>
        <v>30</v>
      </c>
      <c r="I75" s="9">
        <f>IFERROR(log[[#This Row],[Weight Value]]*log[[#This Row],[Reps]]*log[[#This Row],[Sets]],"")</f>
        <v>120</v>
      </c>
      <c r="J75" s="2" t="s">
        <v>49</v>
      </c>
    </row>
    <row r="76" spans="1:10" x14ac:dyDescent="0.3">
      <c r="A76" s="14">
        <v>46191</v>
      </c>
      <c r="B76" s="14" t="str">
        <f>TEXT(log[[#This Row],[Date (DAY)]],"dd MMM (ddd)")</f>
        <v>18 Jun (Thu)</v>
      </c>
      <c r="C76" s="2" t="s">
        <v>8</v>
      </c>
      <c r="D76" s="6">
        <v>190</v>
      </c>
      <c r="E76" s="6" t="s">
        <v>30</v>
      </c>
      <c r="F76" s="9">
        <v>10</v>
      </c>
      <c r="G76" s="9">
        <v>3</v>
      </c>
      <c r="H76" s="9">
        <f>IFERROR(log[[#This Row],[Reps]]*log[[#This Row],[Sets]],"")</f>
        <v>30</v>
      </c>
      <c r="I76" s="9">
        <f>IFERROR(log[[#This Row],[Weight Value]]*log[[#This Row],[Reps]]*log[[#This Row],[Sets]],"")</f>
        <v>5700</v>
      </c>
      <c r="J76" s="2"/>
    </row>
    <row r="77" spans="1:10" x14ac:dyDescent="0.3">
      <c r="A77" s="14">
        <v>46191</v>
      </c>
      <c r="B77" s="14" t="str">
        <f>TEXT(log[[#This Row],[Date (DAY)]],"dd MMM (ddd)")</f>
        <v>18 Jun (Thu)</v>
      </c>
      <c r="C77" s="2" t="s">
        <v>48</v>
      </c>
      <c r="D77" s="6">
        <v>50</v>
      </c>
      <c r="E77" s="7" t="s">
        <v>29</v>
      </c>
      <c r="F77" s="9">
        <v>10</v>
      </c>
      <c r="G77" s="9">
        <v>3</v>
      </c>
      <c r="H77" s="9">
        <f>IFERROR(log[[#This Row],[Reps]]*log[[#This Row],[Sets]],"")</f>
        <v>30</v>
      </c>
      <c r="I77" s="9">
        <f>IFERROR(log[[#This Row],[Weight Value]]*log[[#This Row],[Reps]]*log[[#This Row],[Sets]],"")</f>
        <v>1500</v>
      </c>
      <c r="J77" s="7" t="s">
        <v>15</v>
      </c>
    </row>
    <row r="78" spans="1:10" x14ac:dyDescent="0.3">
      <c r="A78" s="14">
        <v>46191</v>
      </c>
      <c r="B78" s="14" t="str">
        <f>TEXT(log[[#This Row],[Date (DAY)]],"dd MMM (ddd)")</f>
        <v>18 Jun (Thu)</v>
      </c>
      <c r="C78" s="8" t="s">
        <v>45</v>
      </c>
      <c r="D78" s="6">
        <v>17.5</v>
      </c>
      <c r="E78" s="9" t="s">
        <v>30</v>
      </c>
      <c r="F78" s="9">
        <v>11</v>
      </c>
      <c r="G78" s="9">
        <v>4</v>
      </c>
      <c r="H78" s="9">
        <f>IFERROR(log[[#This Row],[Reps]]*log[[#This Row],[Sets]],"")</f>
        <v>44</v>
      </c>
      <c r="I78" s="9">
        <f>IFERROR(log[[#This Row],[Weight Value]]*log[[#This Row],[Reps]]*log[[#This Row],[Sets]],"")</f>
        <v>770</v>
      </c>
      <c r="J78" s="2"/>
    </row>
    <row r="79" spans="1:10" x14ac:dyDescent="0.3">
      <c r="A79" s="14">
        <v>46196</v>
      </c>
      <c r="B79" s="14" t="str">
        <f>TEXT(log[[#This Row],[Date (DAY)]],"dd MMM (ddd)")</f>
        <v>23 Jun (Tue)</v>
      </c>
      <c r="C79" s="2" t="s">
        <v>4</v>
      </c>
      <c r="D79" s="6">
        <v>60</v>
      </c>
      <c r="E79" s="6" t="s">
        <v>30</v>
      </c>
      <c r="F79" s="9">
        <v>10</v>
      </c>
      <c r="G79" s="9">
        <v>4</v>
      </c>
      <c r="H79" s="9">
        <f>IFERROR(log[[#This Row],[Reps]]*log[[#This Row],[Sets]],"")</f>
        <v>40</v>
      </c>
      <c r="I79" s="9">
        <f>IFERROR(log[[#This Row],[Weight Value]]*log[[#This Row],[Reps]]*log[[#This Row],[Sets]],"")</f>
        <v>2400</v>
      </c>
      <c r="J79" s="2"/>
    </row>
    <row r="80" spans="1:10" x14ac:dyDescent="0.3">
      <c r="A80" s="14">
        <v>46196</v>
      </c>
      <c r="B80" s="14" t="str">
        <f>TEXT(log[[#This Row],[Date (DAY)]],"dd MMM (ddd)")</f>
        <v>23 Jun (Tue)</v>
      </c>
      <c r="C80" s="2" t="s">
        <v>5</v>
      </c>
      <c r="D80" s="6">
        <v>75</v>
      </c>
      <c r="E80" s="6" t="s">
        <v>30</v>
      </c>
      <c r="F80" s="9">
        <v>11</v>
      </c>
      <c r="G80" s="9">
        <v>4</v>
      </c>
      <c r="H80" s="9">
        <f>IFERROR(log[[#This Row],[Reps]]*log[[#This Row],[Sets]],"")</f>
        <v>44</v>
      </c>
      <c r="I80" s="9">
        <f>IFERROR(log[[#This Row],[Weight Value]]*log[[#This Row],[Reps]]*log[[#This Row],[Sets]],"")</f>
        <v>3300</v>
      </c>
      <c r="J80" s="2"/>
    </row>
    <row r="81" spans="1:10" x14ac:dyDescent="0.3">
      <c r="A81" s="14">
        <v>46196</v>
      </c>
      <c r="B81" s="14" t="str">
        <f>TEXT(log[[#This Row],[Date (DAY)]],"dd MMM (ddd)")</f>
        <v>23 Jun (Tue)</v>
      </c>
      <c r="C81" s="2" t="s">
        <v>3</v>
      </c>
      <c r="D81" s="6">
        <v>36.6</v>
      </c>
      <c r="E81" s="6" t="s">
        <v>29</v>
      </c>
      <c r="F81" s="9">
        <v>10</v>
      </c>
      <c r="G81" s="9">
        <v>4</v>
      </c>
      <c r="H81" s="9">
        <f>IFERROR(log[[#This Row],[Reps]]*log[[#This Row],[Sets]],"")</f>
        <v>40</v>
      </c>
      <c r="I81" s="9">
        <f>IFERROR(log[[#This Row],[Weight Value]]*log[[#This Row],[Reps]]*log[[#This Row],[Sets]],"")</f>
        <v>1464</v>
      </c>
      <c r="J81" s="2" t="s">
        <v>37</v>
      </c>
    </row>
    <row r="82" spans="1:10" x14ac:dyDescent="0.3">
      <c r="A82" s="14">
        <v>46196</v>
      </c>
      <c r="B82" s="14" t="str">
        <f>TEXT(log[[#This Row],[Date (DAY)]],"dd MMM (ddd)")</f>
        <v>23 Jun (Tue)</v>
      </c>
      <c r="C82" s="2" t="s">
        <v>8</v>
      </c>
      <c r="D82" s="6">
        <v>190</v>
      </c>
      <c r="E82" s="6" t="s">
        <v>30</v>
      </c>
      <c r="F82" s="9">
        <v>10</v>
      </c>
      <c r="G82" s="9">
        <v>4</v>
      </c>
      <c r="H82" s="9">
        <f>IFERROR(log[[#This Row],[Reps]]*log[[#This Row],[Sets]],"")</f>
        <v>40</v>
      </c>
      <c r="I82" s="9">
        <f>IFERROR(log[[#This Row],[Weight Value]]*log[[#This Row],[Reps]]*log[[#This Row],[Sets]],"")</f>
        <v>7600</v>
      </c>
      <c r="J82" s="2"/>
    </row>
    <row r="83" spans="1:10" x14ac:dyDescent="0.3">
      <c r="A83" s="14">
        <v>46196</v>
      </c>
      <c r="B83" s="14" t="str">
        <f>TEXT(log[[#This Row],[Date (DAY)]],"dd MMM (ddd)")</f>
        <v>23 Jun (Tue)</v>
      </c>
      <c r="C83" s="2" t="s">
        <v>6</v>
      </c>
      <c r="D83" s="6">
        <v>30</v>
      </c>
      <c r="E83" s="6" t="s">
        <v>30</v>
      </c>
      <c r="F83" s="9">
        <v>10</v>
      </c>
      <c r="G83" s="9">
        <v>4</v>
      </c>
      <c r="H83" s="9">
        <f>IFERROR(log[[#This Row],[Reps]]*log[[#This Row],[Sets]],"")</f>
        <v>40</v>
      </c>
      <c r="I83" s="9">
        <f>IFERROR(log[[#This Row],[Weight Value]]*log[[#This Row],[Reps]]*log[[#This Row],[Sets]],"")</f>
        <v>1200</v>
      </c>
      <c r="J83" s="2"/>
    </row>
    <row r="84" spans="1:10" x14ac:dyDescent="0.3">
      <c r="A84" s="14">
        <v>46196</v>
      </c>
      <c r="B84" s="14" t="str">
        <f>TEXT(log[[#This Row],[Date (DAY)]],"dd MMM (ddd)")</f>
        <v>23 Jun (Tue)</v>
      </c>
      <c r="C84" s="8" t="s">
        <v>45</v>
      </c>
      <c r="D84" s="6">
        <v>17.5</v>
      </c>
      <c r="E84" s="9" t="s">
        <v>30</v>
      </c>
      <c r="F84" s="9">
        <v>12</v>
      </c>
      <c r="G84" s="9">
        <v>4</v>
      </c>
      <c r="H84" s="9">
        <f>IFERROR(log[[#This Row],[Reps]]*log[[#This Row],[Sets]],"")</f>
        <v>48</v>
      </c>
      <c r="I84" s="9">
        <f>IFERROR(log[[#This Row],[Weight Value]]*log[[#This Row],[Reps]]*log[[#This Row],[Sets]],"")</f>
        <v>840</v>
      </c>
      <c r="J84" s="2"/>
    </row>
    <row r="85" spans="1:10" x14ac:dyDescent="0.3">
      <c r="A85" s="14">
        <v>46196</v>
      </c>
      <c r="B85" s="14" t="str">
        <f>TEXT(log[[#This Row],[Date (DAY)]],"dd MMM (ddd)")</f>
        <v>23 Jun (Tue)</v>
      </c>
      <c r="C85" s="2" t="s">
        <v>10</v>
      </c>
      <c r="D85" s="6">
        <v>4</v>
      </c>
      <c r="E85" s="6" t="s">
        <v>29</v>
      </c>
      <c r="F85" s="9">
        <v>10</v>
      </c>
      <c r="G85" s="9">
        <v>4</v>
      </c>
      <c r="H85" s="9">
        <f>IFERROR(log[[#This Row],[Reps]]*log[[#This Row],[Sets]],"")</f>
        <v>40</v>
      </c>
      <c r="I85" s="9">
        <f>IFERROR(log[[#This Row],[Weight Value]]*log[[#This Row],[Reps]]*log[[#This Row],[Sets]],"")</f>
        <v>160</v>
      </c>
      <c r="J85" s="2" t="s">
        <v>39</v>
      </c>
    </row>
    <row r="86" spans="1:10" x14ac:dyDescent="0.3">
      <c r="A86" s="14">
        <v>46196</v>
      </c>
      <c r="B86" s="14" t="str">
        <f>TEXT(log[[#This Row],[Date (DAY)]],"dd MMM (ddd)")</f>
        <v>23 Jun (Tue)</v>
      </c>
      <c r="C86" s="2" t="s">
        <v>13</v>
      </c>
      <c r="D86" s="6">
        <v>4</v>
      </c>
      <c r="E86" s="6" t="s">
        <v>29</v>
      </c>
      <c r="F86" s="9">
        <v>12</v>
      </c>
      <c r="G86" s="9">
        <v>4</v>
      </c>
      <c r="H86" s="9">
        <f>IFERROR(log[[#This Row],[Reps]]*log[[#This Row],[Sets]],"")</f>
        <v>48</v>
      </c>
      <c r="I86" s="9">
        <f>IFERROR(log[[#This Row],[Weight Value]]*log[[#This Row],[Reps]]*log[[#This Row],[Sets]],"")</f>
        <v>192</v>
      </c>
      <c r="J86" s="2" t="s">
        <v>26</v>
      </c>
    </row>
    <row r="87" spans="1:10" x14ac:dyDescent="0.3">
      <c r="A87" s="14">
        <v>46196</v>
      </c>
      <c r="B87" s="14" t="str">
        <f>TEXT(log[[#This Row],[Date (DAY)]],"dd MMM (ddd)")</f>
        <v>23 Jun (Tue)</v>
      </c>
      <c r="C87" s="2" t="s">
        <v>48</v>
      </c>
      <c r="D87" s="6">
        <v>50</v>
      </c>
      <c r="E87" s="6" t="s">
        <v>29</v>
      </c>
      <c r="F87" s="9">
        <v>11</v>
      </c>
      <c r="G87" s="9">
        <v>3</v>
      </c>
      <c r="H87" s="9">
        <f>IFERROR(log[[#This Row],[Reps]]*log[[#This Row],[Sets]],"")</f>
        <v>33</v>
      </c>
      <c r="I87" s="9">
        <f>IFERROR(log[[#This Row],[Weight Value]]*log[[#This Row],[Reps]]*log[[#This Row],[Sets]],"")</f>
        <v>1650</v>
      </c>
      <c r="J87" s="6" t="s">
        <v>15</v>
      </c>
    </row>
    <row r="88" spans="1:10" x14ac:dyDescent="0.3">
      <c r="A88" s="14">
        <v>46198</v>
      </c>
      <c r="B88" s="14" t="str">
        <f>TEXT(log[[#This Row],[Date (DAY)]],"dd MMM (ddd)")</f>
        <v>25 Jun (Thu)</v>
      </c>
      <c r="C88" s="2" t="s">
        <v>5</v>
      </c>
      <c r="D88" s="6">
        <v>75</v>
      </c>
      <c r="E88" s="6" t="s">
        <v>30</v>
      </c>
      <c r="F88" s="9">
        <v>12</v>
      </c>
      <c r="G88" s="9">
        <v>4</v>
      </c>
      <c r="H88" s="9">
        <f>IFERROR(log[[#This Row],[Reps]]*log[[#This Row],[Sets]],"")</f>
        <v>48</v>
      </c>
      <c r="I88" s="9">
        <f>IFERROR(log[[#This Row],[Weight Value]]*log[[#This Row],[Reps]]*log[[#This Row],[Sets]],"")</f>
        <v>3600</v>
      </c>
      <c r="J88" s="2"/>
    </row>
    <row r="89" spans="1:10" x14ac:dyDescent="0.3">
      <c r="A89" s="14">
        <v>46198</v>
      </c>
      <c r="B89" s="14" t="str">
        <f>TEXT(log[[#This Row],[Date (DAY)]],"dd MMM (ddd)")</f>
        <v>25 Jun (Thu)</v>
      </c>
      <c r="C89" s="2" t="s">
        <v>6</v>
      </c>
      <c r="D89" s="6">
        <v>30</v>
      </c>
      <c r="E89" s="6" t="s">
        <v>30</v>
      </c>
      <c r="F89" s="9">
        <v>11</v>
      </c>
      <c r="G89" s="9">
        <v>4</v>
      </c>
      <c r="H89" s="9">
        <f>IFERROR(log[[#This Row],[Reps]]*log[[#This Row],[Sets]],"")</f>
        <v>44</v>
      </c>
      <c r="I89" s="9">
        <f>IFERROR(log[[#This Row],[Weight Value]]*log[[#This Row],[Reps]]*log[[#This Row],[Sets]],"")</f>
        <v>1320</v>
      </c>
      <c r="J89" s="2"/>
    </row>
    <row r="90" spans="1:10" x14ac:dyDescent="0.3">
      <c r="A90" s="14">
        <v>46198</v>
      </c>
      <c r="B90" s="14" t="str">
        <f>TEXT(log[[#This Row],[Date (DAY)]],"dd MMM (ddd)")</f>
        <v>25 Jun (Thu)</v>
      </c>
      <c r="C90" s="2" t="s">
        <v>4</v>
      </c>
      <c r="D90" s="6">
        <v>60</v>
      </c>
      <c r="E90" s="6" t="s">
        <v>30</v>
      </c>
      <c r="F90" s="9">
        <v>10</v>
      </c>
      <c r="G90" s="9">
        <v>4</v>
      </c>
      <c r="H90" s="9">
        <f>IFERROR(log[[#This Row],[Reps]]*log[[#This Row],[Sets]],"")</f>
        <v>40</v>
      </c>
      <c r="I90" s="9">
        <f>IFERROR(log[[#This Row],[Weight Value]]*log[[#This Row],[Reps]]*log[[#This Row],[Sets]],"")</f>
        <v>2400</v>
      </c>
      <c r="J90" s="2"/>
    </row>
    <row r="91" spans="1:10" x14ac:dyDescent="0.3">
      <c r="A91" s="14">
        <v>46198</v>
      </c>
      <c r="B91" s="14" t="str">
        <f>TEXT(log[[#This Row],[Date (DAY)]],"dd MMM (ddd)")</f>
        <v>25 Jun (Thu)</v>
      </c>
      <c r="C91" s="2" t="s">
        <v>3</v>
      </c>
      <c r="D91" s="6">
        <v>36.6</v>
      </c>
      <c r="E91" s="6" t="s">
        <v>29</v>
      </c>
      <c r="F91" s="9">
        <v>12</v>
      </c>
      <c r="G91" s="9">
        <v>4</v>
      </c>
      <c r="H91" s="9">
        <f>IFERROR(log[[#This Row],[Reps]]*log[[#This Row],[Sets]],"")</f>
        <v>48</v>
      </c>
      <c r="I91" s="9">
        <f>IFERROR(log[[#This Row],[Weight Value]]*log[[#This Row],[Reps]]*log[[#This Row],[Sets]],"")</f>
        <v>1756.8000000000002</v>
      </c>
      <c r="J91" s="2"/>
    </row>
    <row r="92" spans="1:10" x14ac:dyDescent="0.3">
      <c r="A92" s="14">
        <v>46198</v>
      </c>
      <c r="B92" s="14" t="str">
        <f>TEXT(log[[#This Row],[Date (DAY)]],"dd MMM (ddd)")</f>
        <v>25 Jun (Thu)</v>
      </c>
      <c r="C92" s="8" t="s">
        <v>45</v>
      </c>
      <c r="D92" s="6">
        <v>17.5</v>
      </c>
      <c r="E92" s="9" t="s">
        <v>30</v>
      </c>
      <c r="F92" s="9">
        <v>12</v>
      </c>
      <c r="G92" s="9">
        <v>4</v>
      </c>
      <c r="H92" s="9">
        <f>IFERROR(log[[#This Row],[Reps]]*log[[#This Row],[Sets]],"")</f>
        <v>48</v>
      </c>
      <c r="I92" s="9">
        <f>IFERROR(log[[#This Row],[Weight Value]]*log[[#This Row],[Reps]]*log[[#This Row],[Sets]],"")</f>
        <v>840</v>
      </c>
      <c r="J92" s="2"/>
    </row>
    <row r="93" spans="1:10" x14ac:dyDescent="0.3">
      <c r="A93" s="14">
        <v>46198</v>
      </c>
      <c r="B93" s="14" t="str">
        <f>TEXT(log[[#This Row],[Date (DAY)]],"dd MMM (ddd)")</f>
        <v>25 Jun (Thu)</v>
      </c>
      <c r="C93" s="2" t="s">
        <v>10</v>
      </c>
      <c r="D93" s="6">
        <v>5</v>
      </c>
      <c r="E93" s="6" t="s">
        <v>29</v>
      </c>
      <c r="F93" s="9">
        <v>10</v>
      </c>
      <c r="G93" s="9">
        <v>4</v>
      </c>
      <c r="H93" s="9">
        <f>IFERROR(log[[#This Row],[Reps]]*log[[#This Row],[Sets]],"")</f>
        <v>40</v>
      </c>
      <c r="I93" s="9">
        <f>IFERROR(log[[#This Row],[Weight Value]]*log[[#This Row],[Reps]]*log[[#This Row],[Sets]],"")</f>
        <v>200</v>
      </c>
      <c r="J93" s="2" t="s">
        <v>53</v>
      </c>
    </row>
    <row r="94" spans="1:10" x14ac:dyDescent="0.3">
      <c r="A94" s="14">
        <v>46198</v>
      </c>
      <c r="B94" s="14" t="str">
        <f>TEXT(log[[#This Row],[Date (DAY)]],"dd MMM (ddd)")</f>
        <v>25 Jun (Thu)</v>
      </c>
      <c r="C94" s="2" t="s">
        <v>13</v>
      </c>
      <c r="D94" s="6">
        <v>5</v>
      </c>
      <c r="E94" s="6" t="s">
        <v>29</v>
      </c>
      <c r="F94" s="9">
        <v>8</v>
      </c>
      <c r="G94" s="9">
        <v>4</v>
      </c>
      <c r="H94" s="9">
        <f>IFERROR(log[[#This Row],[Reps]]*log[[#This Row],[Sets]],"")</f>
        <v>32</v>
      </c>
      <c r="I94" s="9">
        <f>IFERROR(log[[#This Row],[Weight Value]]*log[[#This Row],[Reps]]*log[[#This Row],[Sets]],"")</f>
        <v>160</v>
      </c>
      <c r="J94" s="2" t="s">
        <v>54</v>
      </c>
    </row>
    <row r="95" spans="1:10" x14ac:dyDescent="0.3">
      <c r="A95" s="14">
        <v>46198</v>
      </c>
      <c r="B95" s="14" t="str">
        <f>TEXT(log[[#This Row],[Date (DAY)]],"dd MMM (ddd)")</f>
        <v>25 Jun (Thu)</v>
      </c>
      <c r="C95" s="2" t="s">
        <v>48</v>
      </c>
      <c r="D95" s="6">
        <v>62</v>
      </c>
      <c r="E95" s="6" t="s">
        <v>29</v>
      </c>
      <c r="F95" s="9">
        <v>10</v>
      </c>
      <c r="G95" s="9">
        <v>4</v>
      </c>
      <c r="H95" s="9">
        <f>IFERROR(log[[#This Row],[Reps]]*log[[#This Row],[Sets]],"")</f>
        <v>40</v>
      </c>
      <c r="I95" s="9">
        <f>IFERROR(log[[#This Row],[Weight Value]]*log[[#This Row],[Reps]]*log[[#This Row],[Sets]],"")</f>
        <v>2480</v>
      </c>
      <c r="J95" s="2" t="s">
        <v>55</v>
      </c>
    </row>
    <row r="96" spans="1:10" x14ac:dyDescent="0.3">
      <c r="A96" s="14">
        <v>46198</v>
      </c>
      <c r="B96" s="14" t="str">
        <f>TEXT(log[[#This Row],[Date (DAY)]],"dd MMM (ddd)")</f>
        <v>25 Jun (Thu)</v>
      </c>
      <c r="C96" s="2" t="s">
        <v>8</v>
      </c>
      <c r="D96" s="6">
        <v>190</v>
      </c>
      <c r="E96" s="6" t="s">
        <v>30</v>
      </c>
      <c r="F96" s="9">
        <v>11</v>
      </c>
      <c r="G96" s="9">
        <v>4</v>
      </c>
      <c r="H96" s="9">
        <f>IFERROR(log[[#This Row],[Reps]]*log[[#This Row],[Sets]],"")</f>
        <v>44</v>
      </c>
      <c r="I96" s="9">
        <f>IFERROR(log[[#This Row],[Weight Value]]*log[[#This Row],[Reps]]*log[[#This Row],[Sets]],"")</f>
        <v>8360</v>
      </c>
      <c r="J96" s="6"/>
    </row>
    <row r="97" spans="1:10" x14ac:dyDescent="0.3">
      <c r="A97" s="16">
        <v>46202</v>
      </c>
      <c r="B97" s="16" t="str">
        <f>TEXT(log[[#This Row],[Date (DAY)]],"dd MMM (ddd)")</f>
        <v>29 Jun (Mon)</v>
      </c>
      <c r="C97" s="2" t="s">
        <v>4</v>
      </c>
      <c r="D97" s="6">
        <v>75</v>
      </c>
      <c r="E97" s="6" t="s">
        <v>30</v>
      </c>
      <c r="F97" s="9">
        <v>10</v>
      </c>
      <c r="G97" s="9">
        <v>3</v>
      </c>
      <c r="H97" s="9">
        <f>IFERROR(log[[#This Row],[Reps]]*log[[#This Row],[Sets]],"")</f>
        <v>30</v>
      </c>
      <c r="I97" s="9">
        <f>IFERROR(log[[#This Row],[Weight Value]]*log[[#This Row],[Reps]]*log[[#This Row],[Sets]],"")</f>
        <v>2250</v>
      </c>
      <c r="J97" s="2" t="s">
        <v>58</v>
      </c>
    </row>
    <row r="98" spans="1:10" x14ac:dyDescent="0.3">
      <c r="A98" s="16">
        <v>46202</v>
      </c>
      <c r="B98" s="16" t="str">
        <f>TEXT(log[[#This Row],[Date (DAY)]],"dd MMM (ddd)")</f>
        <v>29 Jun (Mon)</v>
      </c>
      <c r="C98" s="2" t="s">
        <v>5</v>
      </c>
      <c r="D98" s="6">
        <v>75</v>
      </c>
      <c r="E98" s="6" t="s">
        <v>30</v>
      </c>
      <c r="F98" s="9">
        <v>10</v>
      </c>
      <c r="G98" s="9">
        <v>3</v>
      </c>
      <c r="H98" s="9">
        <f>IFERROR(log[[#This Row],[Reps]]*log[[#This Row],[Sets]],"")</f>
        <v>30</v>
      </c>
      <c r="I98" s="9">
        <f>IFERROR(log[[#This Row],[Weight Value]]*log[[#This Row],[Reps]]*log[[#This Row],[Sets]],"")</f>
        <v>2250</v>
      </c>
      <c r="J98" s="2"/>
    </row>
    <row r="99" spans="1:10" x14ac:dyDescent="0.3">
      <c r="A99" s="16">
        <v>46202</v>
      </c>
      <c r="B99" s="16" t="str">
        <f>TEXT(log[[#This Row],[Date (DAY)]],"dd MMM (ddd)")</f>
        <v>29 Jun (Mon)</v>
      </c>
      <c r="C99" s="2" t="s">
        <v>3</v>
      </c>
      <c r="D99" s="6">
        <v>39</v>
      </c>
      <c r="E99" s="6" t="s">
        <v>29</v>
      </c>
      <c r="F99" s="9">
        <v>10</v>
      </c>
      <c r="G99" s="9">
        <v>3</v>
      </c>
      <c r="H99" s="9">
        <f>IFERROR(log[[#This Row],[Reps]]*log[[#This Row],[Sets]],"")</f>
        <v>30</v>
      </c>
      <c r="I99" s="9">
        <f>IFERROR(log[[#This Row],[Weight Value]]*log[[#This Row],[Reps]]*log[[#This Row],[Sets]],"")</f>
        <v>1170</v>
      </c>
      <c r="J99" s="2"/>
    </row>
    <row r="100" spans="1:10" x14ac:dyDescent="0.3">
      <c r="A100" s="16">
        <v>46202</v>
      </c>
      <c r="B100" s="16" t="str">
        <f>TEXT(log[[#This Row],[Date (DAY)]],"dd MMM (ddd)")</f>
        <v>29 Jun (Mon)</v>
      </c>
      <c r="C100" s="2" t="s">
        <v>8</v>
      </c>
      <c r="D100" s="6">
        <v>190</v>
      </c>
      <c r="E100" s="6" t="s">
        <v>30</v>
      </c>
      <c r="F100" s="9">
        <v>11</v>
      </c>
      <c r="G100" s="9">
        <v>4</v>
      </c>
      <c r="H100" s="9">
        <f>IFERROR(log[[#This Row],[Reps]]*log[[#This Row],[Sets]],"")</f>
        <v>44</v>
      </c>
      <c r="I100" s="9">
        <f>IFERROR(log[[#This Row],[Weight Value]]*log[[#This Row],[Reps]]*log[[#This Row],[Sets]],"")</f>
        <v>8360</v>
      </c>
      <c r="J100" s="2"/>
    </row>
    <row r="101" spans="1:10" x14ac:dyDescent="0.3">
      <c r="A101" s="16">
        <v>46202</v>
      </c>
      <c r="B101" s="16" t="str">
        <f>TEXT(log[[#This Row],[Date (DAY)]],"dd MMM (ddd)")</f>
        <v>29 Jun (Mon)</v>
      </c>
      <c r="C101" s="17" t="s">
        <v>6</v>
      </c>
      <c r="D101" s="6">
        <v>32.5</v>
      </c>
      <c r="E101" s="6" t="s">
        <v>30</v>
      </c>
      <c r="F101" s="9">
        <v>10</v>
      </c>
      <c r="G101" s="9">
        <v>4</v>
      </c>
      <c r="H101" s="9">
        <f>IFERROR(log[[#This Row],[Reps]]*log[[#This Row],[Sets]],"")</f>
        <v>40</v>
      </c>
      <c r="I101" s="9">
        <f>IFERROR(log[[#This Row],[Weight Value]]*log[[#This Row],[Reps]]*log[[#This Row],[Sets]],"")</f>
        <v>1300</v>
      </c>
      <c r="J101" s="2"/>
    </row>
    <row r="102" spans="1:10" x14ac:dyDescent="0.3">
      <c r="A102" s="16">
        <v>46202</v>
      </c>
      <c r="B102" s="16" t="str">
        <f>TEXT(log[[#This Row],[Date (DAY)]],"dd MMM (ddd)")</f>
        <v>29 Jun (Mon)</v>
      </c>
      <c r="C102" s="2" t="s">
        <v>10</v>
      </c>
      <c r="D102" s="6">
        <v>5</v>
      </c>
      <c r="E102" s="6" t="s">
        <v>29</v>
      </c>
      <c r="F102" s="9">
        <v>10</v>
      </c>
      <c r="G102" s="9">
        <v>4</v>
      </c>
      <c r="H102" s="9">
        <f>IFERROR(log[[#This Row],[Reps]]*log[[#This Row],[Sets]],"")</f>
        <v>40</v>
      </c>
      <c r="I102" s="9">
        <f>IFERROR(log[[#This Row],[Weight Value]]*log[[#This Row],[Reps]]*log[[#This Row],[Sets]],"")</f>
        <v>200</v>
      </c>
      <c r="J102" s="2"/>
    </row>
    <row r="103" spans="1:10" x14ac:dyDescent="0.3">
      <c r="A103" s="16">
        <v>46202</v>
      </c>
      <c r="B103" s="16" t="str">
        <f>TEXT(log[[#This Row],[Date (DAY)]],"dd MMM (ddd)")</f>
        <v>29 Jun (Mon)</v>
      </c>
      <c r="C103" s="2" t="s">
        <v>13</v>
      </c>
      <c r="D103" s="6">
        <v>5</v>
      </c>
      <c r="E103" s="6" t="s">
        <v>29</v>
      </c>
      <c r="F103" s="9">
        <v>10</v>
      </c>
      <c r="G103" s="9">
        <v>4</v>
      </c>
      <c r="H103" s="9">
        <f>IFERROR(log[[#This Row],[Reps]]*log[[#This Row],[Sets]],"")</f>
        <v>40</v>
      </c>
      <c r="I103" s="9">
        <f>IFERROR(log[[#This Row],[Weight Value]]*log[[#This Row],[Reps]]*log[[#This Row],[Sets]],"")</f>
        <v>200</v>
      </c>
      <c r="J103" s="2"/>
    </row>
    <row r="104" spans="1:10" x14ac:dyDescent="0.3">
      <c r="A104" s="16">
        <v>46202</v>
      </c>
      <c r="B104" s="16" t="str">
        <f>TEXT(log[[#This Row],[Date (DAY)]],"dd MMM (ddd)")</f>
        <v>29 Jun (Mon)</v>
      </c>
      <c r="C104" s="8" t="s">
        <v>45</v>
      </c>
      <c r="D104" s="6">
        <v>22.5</v>
      </c>
      <c r="E104" s="6" t="s">
        <v>30</v>
      </c>
      <c r="F104" s="9">
        <v>10</v>
      </c>
      <c r="G104" s="9">
        <v>3</v>
      </c>
      <c r="H104" s="9">
        <f>IFERROR(log[[#This Row],[Reps]]*log[[#This Row],[Sets]],"")</f>
        <v>30</v>
      </c>
      <c r="I104" s="9">
        <f>IFERROR(log[[#This Row],[Weight Value]]*log[[#This Row],[Reps]]*log[[#This Row],[Sets]],"")</f>
        <v>675</v>
      </c>
      <c r="J104" s="2" t="s">
        <v>59</v>
      </c>
    </row>
    <row r="105" spans="1:10" x14ac:dyDescent="0.3">
      <c r="A105" s="16">
        <v>46202</v>
      </c>
      <c r="B105" s="16" t="str">
        <f>TEXT(log[[#This Row],[Date (DAY)]],"dd MMM (ddd)")</f>
        <v>29 Jun (Mon)</v>
      </c>
      <c r="C105" s="2" t="s">
        <v>48</v>
      </c>
      <c r="D105" s="6">
        <v>60</v>
      </c>
      <c r="E105" s="6" t="s">
        <v>29</v>
      </c>
      <c r="F105" s="9">
        <v>12</v>
      </c>
      <c r="G105" s="9">
        <v>4</v>
      </c>
      <c r="H105" s="9">
        <f>IFERROR(log[[#This Row],[Reps]]*log[[#This Row],[Sets]],"")</f>
        <v>48</v>
      </c>
      <c r="I105" s="9">
        <f>IFERROR(log[[#This Row],[Weight Value]]*log[[#This Row],[Reps]]*log[[#This Row],[Sets]],"")</f>
        <v>2880</v>
      </c>
      <c r="J105" s="6" t="s">
        <v>15</v>
      </c>
    </row>
    <row r="106" spans="1:10" x14ac:dyDescent="0.3">
      <c r="A106" s="16">
        <v>46206</v>
      </c>
      <c r="B106" s="16" t="str">
        <f>TEXT(log[[#This Row],[Date (DAY)]],"dd MMM (ddd)")</f>
        <v>03 Jul (Fri)</v>
      </c>
      <c r="C106" s="2" t="s">
        <v>4</v>
      </c>
      <c r="D106" s="6">
        <v>75</v>
      </c>
      <c r="E106" s="6" t="s">
        <v>30</v>
      </c>
      <c r="F106" s="9">
        <v>10</v>
      </c>
      <c r="G106" s="9">
        <v>4</v>
      </c>
      <c r="H106" s="9">
        <f>IFERROR(log[[#This Row],[Reps]]*log[[#This Row],[Sets]],"")</f>
        <v>40</v>
      </c>
      <c r="I106" s="9">
        <f>IFERROR(log[[#This Row],[Weight Value]]*log[[#This Row],[Reps]]*log[[#This Row],[Sets]],"")</f>
        <v>3000</v>
      </c>
      <c r="J106" s="2"/>
    </row>
    <row r="107" spans="1:10" x14ac:dyDescent="0.3">
      <c r="A107" s="16">
        <v>46206</v>
      </c>
      <c r="B107" s="16" t="str">
        <f>TEXT(log[[#This Row],[Date (DAY)]],"dd MMM (ddd)")</f>
        <v>03 Jul (Fri)</v>
      </c>
      <c r="C107" s="2" t="s">
        <v>5</v>
      </c>
      <c r="D107" s="6">
        <v>80</v>
      </c>
      <c r="E107" s="6" t="s">
        <v>30</v>
      </c>
      <c r="F107" s="9">
        <v>10</v>
      </c>
      <c r="G107" s="9">
        <v>4</v>
      </c>
      <c r="H107" s="9">
        <f>IFERROR(log[[#This Row],[Reps]]*log[[#This Row],[Sets]],"")</f>
        <v>40</v>
      </c>
      <c r="I107" s="9">
        <f>IFERROR(log[[#This Row],[Weight Value]]*log[[#This Row],[Reps]]*log[[#This Row],[Sets]],"")</f>
        <v>3200</v>
      </c>
      <c r="J107" s="2"/>
    </row>
    <row r="108" spans="1:10" x14ac:dyDescent="0.3">
      <c r="A108" s="16">
        <v>46206</v>
      </c>
      <c r="B108" s="16" t="str">
        <f>TEXT(log[[#This Row],[Date (DAY)]],"dd MMM (ddd)")</f>
        <v>03 Jul (Fri)</v>
      </c>
      <c r="C108" s="2" t="s">
        <v>6</v>
      </c>
      <c r="D108" s="6">
        <v>35</v>
      </c>
      <c r="E108" s="6" t="s">
        <v>30</v>
      </c>
      <c r="F108" s="9">
        <v>10</v>
      </c>
      <c r="G108" s="9">
        <v>4</v>
      </c>
      <c r="H108" s="9">
        <f>IFERROR(log[[#This Row],[Reps]]*log[[#This Row],[Sets]],"")</f>
        <v>40</v>
      </c>
      <c r="I108" s="9">
        <f>IFERROR(log[[#This Row],[Weight Value]]*log[[#This Row],[Reps]]*log[[#This Row],[Sets]],"")</f>
        <v>1400</v>
      </c>
      <c r="J108" s="2"/>
    </row>
    <row r="109" spans="1:10" x14ac:dyDescent="0.3">
      <c r="A109" s="16">
        <v>46206</v>
      </c>
      <c r="B109" s="16" t="str">
        <f>TEXT(log[[#This Row],[Date (DAY)]],"dd MMM (ddd)")</f>
        <v>03 Jul (Fri)</v>
      </c>
      <c r="C109" s="2" t="s">
        <v>3</v>
      </c>
      <c r="D109" s="6">
        <v>39</v>
      </c>
      <c r="E109" s="6" t="s">
        <v>29</v>
      </c>
      <c r="F109" s="9">
        <v>8</v>
      </c>
      <c r="G109" s="9">
        <v>4</v>
      </c>
      <c r="H109" s="9">
        <f>IFERROR(log[[#This Row],[Reps]]*log[[#This Row],[Sets]],"")</f>
        <v>32</v>
      </c>
      <c r="I109" s="9">
        <f>IFERROR(log[[#This Row],[Weight Value]]*log[[#This Row],[Reps]]*log[[#This Row],[Sets]],"")</f>
        <v>1248</v>
      </c>
      <c r="J109" s="2" t="s">
        <v>63</v>
      </c>
    </row>
    <row r="110" spans="1:10" x14ac:dyDescent="0.3">
      <c r="A110" s="16">
        <v>46206</v>
      </c>
      <c r="B110" s="16" t="str">
        <f>TEXT(log[[#This Row],[Date (DAY)]],"dd MMM (ddd)")</f>
        <v>03 Jul (Fri)</v>
      </c>
      <c r="C110" s="2" t="s">
        <v>8</v>
      </c>
      <c r="D110" s="6">
        <v>215</v>
      </c>
      <c r="E110" s="6" t="s">
        <v>30</v>
      </c>
      <c r="F110" s="9">
        <v>10</v>
      </c>
      <c r="G110" s="9">
        <v>4</v>
      </c>
      <c r="H110" s="9">
        <f>IFERROR(log[[#This Row],[Reps]]*log[[#This Row],[Sets]],"")</f>
        <v>40</v>
      </c>
      <c r="I110" s="9">
        <f>IFERROR(log[[#This Row],[Weight Value]]*log[[#This Row],[Reps]]*log[[#This Row],[Sets]],"")</f>
        <v>8600</v>
      </c>
      <c r="J110" s="2"/>
    </row>
    <row r="111" spans="1:10" x14ac:dyDescent="0.3">
      <c r="A111" s="16">
        <v>46206</v>
      </c>
      <c r="B111" s="16" t="str">
        <f>TEXT(log[[#This Row],[Date (DAY)]],"dd MMM (ddd)")</f>
        <v>03 Jul (Fri)</v>
      </c>
      <c r="C111" s="2" t="s">
        <v>10</v>
      </c>
      <c r="D111" s="6">
        <v>5</v>
      </c>
      <c r="E111" s="6" t="s">
        <v>29</v>
      </c>
      <c r="F111" s="9">
        <v>10</v>
      </c>
      <c r="G111" s="9">
        <v>4</v>
      </c>
      <c r="H111" s="9">
        <f>IFERROR(log[[#This Row],[Reps]]*log[[#This Row],[Sets]],"")</f>
        <v>40</v>
      </c>
      <c r="I111" s="9">
        <f>IFERROR(log[[#This Row],[Weight Value]]*log[[#This Row],[Reps]]*log[[#This Row],[Sets]],"")</f>
        <v>200</v>
      </c>
      <c r="J111" s="2"/>
    </row>
    <row r="112" spans="1:10" x14ac:dyDescent="0.3">
      <c r="A112" s="16">
        <v>46206</v>
      </c>
      <c r="B112" s="16" t="str">
        <f>TEXT(log[[#This Row],[Date (DAY)]],"dd MMM (ddd)")</f>
        <v>03 Jul (Fri)</v>
      </c>
      <c r="C112" s="2" t="s">
        <v>13</v>
      </c>
      <c r="D112" s="6">
        <v>5</v>
      </c>
      <c r="E112" s="6" t="s">
        <v>29</v>
      </c>
      <c r="F112" s="9">
        <v>10</v>
      </c>
      <c r="G112" s="9">
        <v>4</v>
      </c>
      <c r="H112" s="9">
        <f>IFERROR(log[[#This Row],[Reps]]*log[[#This Row],[Sets]],"")</f>
        <v>40</v>
      </c>
      <c r="I112" s="9">
        <f>IFERROR(log[[#This Row],[Weight Value]]*log[[#This Row],[Reps]]*log[[#This Row],[Sets]],"")</f>
        <v>200</v>
      </c>
      <c r="J112" s="2"/>
    </row>
    <row r="113" spans="1:10" x14ac:dyDescent="0.3">
      <c r="A113" s="16">
        <v>46206</v>
      </c>
      <c r="B113" s="16" t="str">
        <f>TEXT(log[[#This Row],[Date (DAY)]],"dd MMM (ddd)")</f>
        <v>03 Jul (Fri)</v>
      </c>
      <c r="C113" s="2" t="s">
        <v>45</v>
      </c>
      <c r="D113" s="6">
        <v>22.5</v>
      </c>
      <c r="E113" s="6" t="s">
        <v>30</v>
      </c>
      <c r="F113" s="9">
        <v>12</v>
      </c>
      <c r="G113" s="9">
        <v>4</v>
      </c>
      <c r="H113" s="9">
        <f>IFERROR(log[[#This Row],[Reps]]*log[[#This Row],[Sets]],"")</f>
        <v>48</v>
      </c>
      <c r="I113" s="9">
        <f>IFERROR(log[[#This Row],[Weight Value]]*log[[#This Row],[Reps]]*log[[#This Row],[Sets]],"")</f>
        <v>1080</v>
      </c>
      <c r="J113" s="2" t="s">
        <v>54</v>
      </c>
    </row>
    <row r="114" spans="1:10" x14ac:dyDescent="0.3">
      <c r="A114" s="16">
        <v>46206</v>
      </c>
      <c r="B114" s="16" t="str">
        <f>TEXT(log[[#This Row],[Date (DAY)]],"dd MMM (ddd)")</f>
        <v>03 Jul (Fri)</v>
      </c>
      <c r="C114" s="2" t="s">
        <v>48</v>
      </c>
      <c r="D114" s="6">
        <v>55</v>
      </c>
      <c r="E114" s="6" t="s">
        <v>29</v>
      </c>
      <c r="F114" s="9">
        <v>10</v>
      </c>
      <c r="G114" s="9">
        <v>4</v>
      </c>
      <c r="H114" s="9">
        <f>IFERROR(log[[#This Row],[Reps]]*log[[#This Row],[Sets]],"")</f>
        <v>40</v>
      </c>
      <c r="I114" s="9">
        <f>IFERROR(log[[#This Row],[Weight Value]]*log[[#This Row],[Reps]]*log[[#This Row],[Sets]],"")</f>
        <v>2200</v>
      </c>
      <c r="J114" s="2" t="s">
        <v>64</v>
      </c>
    </row>
    <row r="115" spans="1:10" x14ac:dyDescent="0.3">
      <c r="A115" s="16">
        <v>46210</v>
      </c>
      <c r="B115" s="16" t="str">
        <f>TEXT(log[[#This Row],[Date (DAY)]],"dd MMM (ddd)")</f>
        <v>07 Jul (Tue)</v>
      </c>
      <c r="C115" s="2" t="s">
        <v>4</v>
      </c>
      <c r="D115" s="6">
        <v>75</v>
      </c>
      <c r="E115" s="6" t="s">
        <v>30</v>
      </c>
      <c r="F115" s="9">
        <v>12</v>
      </c>
      <c r="G115" s="9">
        <v>4</v>
      </c>
      <c r="H115" s="9">
        <f>IFERROR(log[[#This Row],[Reps]]*log[[#This Row],[Sets]],"")</f>
        <v>48</v>
      </c>
      <c r="I115" s="9">
        <f>IFERROR(log[[#This Row],[Weight Value]]*log[[#This Row],[Reps]]*log[[#This Row],[Sets]],"")</f>
        <v>3600</v>
      </c>
      <c r="J115" s="2"/>
    </row>
    <row r="116" spans="1:10" x14ac:dyDescent="0.3">
      <c r="A116" s="16">
        <v>46210</v>
      </c>
      <c r="B116" s="16" t="str">
        <f>TEXT(log[[#This Row],[Date (DAY)]],"dd MMM (ddd)")</f>
        <v>07 Jul (Tue)</v>
      </c>
      <c r="C116" s="2" t="s">
        <v>5</v>
      </c>
      <c r="D116" s="6">
        <v>85</v>
      </c>
      <c r="E116" s="6" t="s">
        <v>30</v>
      </c>
      <c r="F116" s="9">
        <v>10</v>
      </c>
      <c r="G116" s="9">
        <v>4</v>
      </c>
      <c r="H116" s="9">
        <f>IFERROR(log[[#This Row],[Reps]]*log[[#This Row],[Sets]],"")</f>
        <v>40</v>
      </c>
      <c r="I116" s="9">
        <f>IFERROR(log[[#This Row],[Weight Value]]*log[[#This Row],[Reps]]*log[[#This Row],[Sets]],"")</f>
        <v>3400</v>
      </c>
      <c r="J116" s="2"/>
    </row>
    <row r="117" spans="1:10" x14ac:dyDescent="0.3">
      <c r="A117" s="16">
        <v>46210</v>
      </c>
      <c r="B117" s="16" t="str">
        <f>TEXT(log[[#This Row],[Date (DAY)]],"dd MMM (ddd)")</f>
        <v>07 Jul (Tue)</v>
      </c>
      <c r="C117" s="2" t="s">
        <v>6</v>
      </c>
      <c r="D117" s="6">
        <v>40</v>
      </c>
      <c r="E117" s="6" t="s">
        <v>30</v>
      </c>
      <c r="F117" s="9">
        <v>10</v>
      </c>
      <c r="G117" s="9">
        <v>4</v>
      </c>
      <c r="H117" s="9">
        <f>IFERROR(log[[#This Row],[Reps]]*log[[#This Row],[Sets]],"")</f>
        <v>40</v>
      </c>
      <c r="I117" s="9">
        <f>IFERROR(log[[#This Row],[Weight Value]]*log[[#This Row],[Reps]]*log[[#This Row],[Sets]],"")</f>
        <v>1600</v>
      </c>
      <c r="J117" s="2" t="s">
        <v>66</v>
      </c>
    </row>
    <row r="118" spans="1:10" x14ac:dyDescent="0.3">
      <c r="A118" s="16">
        <v>46210</v>
      </c>
      <c r="B118" s="16" t="str">
        <f>TEXT(log[[#This Row],[Date (DAY)]],"dd MMM (ddd)")</f>
        <v>07 Jul (Tue)</v>
      </c>
      <c r="C118" s="2" t="s">
        <v>3</v>
      </c>
      <c r="D118" s="6">
        <v>39</v>
      </c>
      <c r="E118" s="6" t="s">
        <v>29</v>
      </c>
      <c r="F118" s="9">
        <v>10</v>
      </c>
      <c r="G118" s="9">
        <v>4</v>
      </c>
      <c r="H118" s="9">
        <f>IFERROR(log[[#This Row],[Reps]]*log[[#This Row],[Sets]],"")</f>
        <v>40</v>
      </c>
      <c r="I118" s="9">
        <f>IFERROR(log[[#This Row],[Weight Value]]*log[[#This Row],[Reps]]*log[[#This Row],[Sets]],"")</f>
        <v>1560</v>
      </c>
      <c r="J118" s="2"/>
    </row>
    <row r="119" spans="1:10" x14ac:dyDescent="0.3">
      <c r="A119" s="16">
        <v>46210</v>
      </c>
      <c r="B119" s="16" t="str">
        <f>TEXT(log[[#This Row],[Date (DAY)]],"dd MMM (ddd)")</f>
        <v>07 Jul (Tue)</v>
      </c>
      <c r="C119" s="2" t="s">
        <v>45</v>
      </c>
      <c r="D119" s="6">
        <v>22.5</v>
      </c>
      <c r="E119" s="6" t="s">
        <v>30</v>
      </c>
      <c r="F119" s="9">
        <v>12</v>
      </c>
      <c r="G119" s="9">
        <v>4</v>
      </c>
      <c r="H119" s="9">
        <f>IFERROR(log[[#This Row],[Reps]]*log[[#This Row],[Sets]],"")</f>
        <v>48</v>
      </c>
      <c r="I119" s="9">
        <f>IFERROR(log[[#This Row],[Weight Value]]*log[[#This Row],[Reps]]*log[[#This Row],[Sets]],"")</f>
        <v>1080</v>
      </c>
      <c r="J119" s="2"/>
    </row>
    <row r="120" spans="1:10" x14ac:dyDescent="0.3">
      <c r="A120" s="16">
        <v>46210</v>
      </c>
      <c r="B120" s="16" t="str">
        <f>TEXT(log[[#This Row],[Date (DAY)]],"dd MMM (ddd)")</f>
        <v>07 Jul (Tue)</v>
      </c>
      <c r="C120" s="2" t="s">
        <v>10</v>
      </c>
      <c r="D120" s="6">
        <v>5</v>
      </c>
      <c r="E120" s="6" t="s">
        <v>29</v>
      </c>
      <c r="F120" s="9">
        <v>12</v>
      </c>
      <c r="G120" s="9">
        <v>4</v>
      </c>
      <c r="H120" s="9">
        <f>IFERROR(log[[#This Row],[Reps]]*log[[#This Row],[Sets]],"")</f>
        <v>48</v>
      </c>
      <c r="I120" s="9">
        <f>IFERROR(log[[#This Row],[Weight Value]]*log[[#This Row],[Reps]]*log[[#This Row],[Sets]],"")</f>
        <v>240</v>
      </c>
      <c r="J120" s="2" t="s">
        <v>67</v>
      </c>
    </row>
    <row r="121" spans="1:10" x14ac:dyDescent="0.3">
      <c r="A121" s="16">
        <v>46210</v>
      </c>
      <c r="B121" s="16" t="str">
        <f>TEXT(log[[#This Row],[Date (DAY)]],"dd MMM (ddd)")</f>
        <v>07 Jul (Tue)</v>
      </c>
      <c r="C121" s="2" t="s">
        <v>13</v>
      </c>
      <c r="D121" s="6">
        <v>5</v>
      </c>
      <c r="E121" s="6" t="s">
        <v>29</v>
      </c>
      <c r="F121" s="9">
        <v>12</v>
      </c>
      <c r="G121" s="9">
        <v>4</v>
      </c>
      <c r="H121" s="9">
        <f>IFERROR(log[[#This Row],[Reps]]*log[[#This Row],[Sets]],"")</f>
        <v>48</v>
      </c>
      <c r="I121" s="9">
        <f>IFERROR(log[[#This Row],[Weight Value]]*log[[#This Row],[Reps]]*log[[#This Row],[Sets]],"")</f>
        <v>240</v>
      </c>
      <c r="J121" s="2" t="s">
        <v>68</v>
      </c>
    </row>
    <row r="122" spans="1:10" x14ac:dyDescent="0.3">
      <c r="A122" s="16">
        <v>46210</v>
      </c>
      <c r="B122" s="16" t="str">
        <f>TEXT(log[[#This Row],[Date (DAY)]],"dd MMM (ddd)")</f>
        <v>07 Jul (Tue)</v>
      </c>
      <c r="C122" s="2" t="s">
        <v>8</v>
      </c>
      <c r="D122" s="6">
        <v>215</v>
      </c>
      <c r="E122" s="6" t="s">
        <v>30</v>
      </c>
      <c r="F122" s="9">
        <v>10</v>
      </c>
      <c r="G122" s="9">
        <v>4</v>
      </c>
      <c r="H122" s="9">
        <f>IFERROR(log[[#This Row],[Reps]]*log[[#This Row],[Sets]],"")</f>
        <v>40</v>
      </c>
      <c r="I122" s="9">
        <f>IFERROR(log[[#This Row],[Weight Value]]*log[[#This Row],[Reps]]*log[[#This Row],[Sets]],"")</f>
        <v>8600</v>
      </c>
      <c r="J122" s="2"/>
    </row>
    <row r="123" spans="1:10" x14ac:dyDescent="0.3">
      <c r="A123" s="16">
        <v>46210</v>
      </c>
      <c r="B123" s="16" t="str">
        <f>TEXT(log[[#This Row],[Date (DAY)]],"dd MMM (ddd)")</f>
        <v>07 Jul (Tue)</v>
      </c>
      <c r="C123" s="2" t="s">
        <v>48</v>
      </c>
      <c r="D123" s="6">
        <v>55</v>
      </c>
      <c r="E123" s="6" t="s">
        <v>29</v>
      </c>
      <c r="F123" s="9">
        <v>12</v>
      </c>
      <c r="G123" s="9">
        <v>4</v>
      </c>
      <c r="H123" s="9">
        <f>IFERROR(log[[#This Row],[Reps]]*log[[#This Row],[Sets]],"")</f>
        <v>48</v>
      </c>
      <c r="I123" s="9">
        <f>IFERROR(log[[#This Row],[Weight Value]]*log[[#This Row],[Reps]]*log[[#This Row],[Sets]],"")</f>
        <v>2640</v>
      </c>
      <c r="J123" s="2" t="s">
        <v>69</v>
      </c>
    </row>
    <row r="124" spans="1:10" x14ac:dyDescent="0.3">
      <c r="A124" s="16">
        <v>46212</v>
      </c>
      <c r="B124" s="16" t="str">
        <f>TEXT(log[[#This Row],[Date (DAY)]],"dd MMM (ddd)")</f>
        <v>09 Jul (Thu)</v>
      </c>
      <c r="C124" s="2" t="s">
        <v>4</v>
      </c>
      <c r="D124" s="6">
        <v>80</v>
      </c>
      <c r="E124" s="6" t="s">
        <v>30</v>
      </c>
      <c r="F124" s="9">
        <v>10</v>
      </c>
      <c r="G124" s="9">
        <v>4</v>
      </c>
      <c r="H124" s="9">
        <f>IFERROR(log[[#This Row],[Reps]]*log[[#This Row],[Sets]],"")</f>
        <v>40</v>
      </c>
      <c r="I124" s="9">
        <f>IFERROR(log[[#This Row],[Weight Value]]*log[[#This Row],[Reps]]*log[[#This Row],[Sets]],"")</f>
        <v>3200</v>
      </c>
      <c r="J124" s="2"/>
    </row>
    <row r="125" spans="1:10" x14ac:dyDescent="0.3">
      <c r="A125" s="16">
        <v>46212</v>
      </c>
      <c r="B125" s="16" t="str">
        <f>TEXT(log[[#This Row],[Date (DAY)]],"dd MMM (ddd)")</f>
        <v>09 Jul (Thu)</v>
      </c>
      <c r="C125" s="2" t="s">
        <v>6</v>
      </c>
      <c r="D125" s="6">
        <v>40</v>
      </c>
      <c r="E125" s="6" t="s">
        <v>30</v>
      </c>
      <c r="F125" s="9">
        <v>10</v>
      </c>
      <c r="G125" s="9">
        <v>4</v>
      </c>
      <c r="H125" s="9">
        <f>IFERROR(log[[#This Row],[Reps]]*log[[#This Row],[Sets]],"")</f>
        <v>40</v>
      </c>
      <c r="I125" s="9">
        <f>IFERROR(log[[#This Row],[Weight Value]]*log[[#This Row],[Reps]]*log[[#This Row],[Sets]],"")</f>
        <v>1600</v>
      </c>
      <c r="J125" s="2"/>
    </row>
    <row r="126" spans="1:10" x14ac:dyDescent="0.3">
      <c r="A126" s="16">
        <v>46212</v>
      </c>
      <c r="B126" s="16" t="str">
        <f>TEXT(log[[#This Row],[Date (DAY)]],"dd MMM (ddd)")</f>
        <v>09 Jul (Thu)</v>
      </c>
      <c r="C126" s="2" t="s">
        <v>5</v>
      </c>
      <c r="D126" s="6">
        <v>85</v>
      </c>
      <c r="E126" s="6" t="s">
        <v>30</v>
      </c>
      <c r="F126" s="9">
        <v>12</v>
      </c>
      <c r="G126" s="9">
        <v>4</v>
      </c>
      <c r="H126" s="9">
        <f>IFERROR(log[[#This Row],[Reps]]*log[[#This Row],[Sets]],"")</f>
        <v>48</v>
      </c>
      <c r="I126" s="9">
        <f>IFERROR(log[[#This Row],[Weight Value]]*log[[#This Row],[Reps]]*log[[#This Row],[Sets]],"")</f>
        <v>4080</v>
      </c>
      <c r="J126" s="2"/>
    </row>
    <row r="127" spans="1:10" x14ac:dyDescent="0.3">
      <c r="A127" s="16">
        <v>46212</v>
      </c>
      <c r="B127" s="16" t="str">
        <f>TEXT(log[[#This Row],[Date (DAY)]],"dd MMM (ddd)")</f>
        <v>09 Jul (Thu)</v>
      </c>
      <c r="C127" s="2" t="s">
        <v>3</v>
      </c>
      <c r="D127" s="6">
        <v>39</v>
      </c>
      <c r="E127" s="6" t="s">
        <v>29</v>
      </c>
      <c r="F127" s="9">
        <v>12</v>
      </c>
      <c r="G127" s="9">
        <v>4</v>
      </c>
      <c r="H127" s="9">
        <f>IFERROR(log[[#This Row],[Reps]]*log[[#This Row],[Sets]],"")</f>
        <v>48</v>
      </c>
      <c r="I127" s="9">
        <f>IFERROR(log[[#This Row],[Weight Value]]*log[[#This Row],[Reps]]*log[[#This Row],[Sets]],"")</f>
        <v>1872</v>
      </c>
      <c r="J127" s="2"/>
    </row>
    <row r="128" spans="1:10" x14ac:dyDescent="0.3">
      <c r="A128" s="16">
        <v>46212</v>
      </c>
      <c r="B128" s="16" t="str">
        <f>TEXT(log[[#This Row],[Date (DAY)]],"dd MMM (ddd)")</f>
        <v>09 Jul (Thu)</v>
      </c>
      <c r="C128" s="2" t="s">
        <v>10</v>
      </c>
      <c r="D128" s="6">
        <v>5</v>
      </c>
      <c r="E128" s="6" t="s">
        <v>29</v>
      </c>
      <c r="F128" s="9">
        <v>12</v>
      </c>
      <c r="G128" s="9">
        <v>4</v>
      </c>
      <c r="H128" s="9">
        <f>IFERROR(log[[#This Row],[Reps]]*log[[#This Row],[Sets]],"")</f>
        <v>48</v>
      </c>
      <c r="I128" s="9">
        <f>IFERROR(log[[#This Row],[Weight Value]]*log[[#This Row],[Reps]]*log[[#This Row],[Sets]],"")</f>
        <v>240</v>
      </c>
      <c r="J128" s="2"/>
    </row>
    <row r="129" spans="1:10" x14ac:dyDescent="0.3">
      <c r="A129" s="16">
        <v>46212</v>
      </c>
      <c r="B129" s="16" t="str">
        <f>TEXT(log[[#This Row],[Date (DAY)]],"dd MMM (ddd)")</f>
        <v>09 Jul (Thu)</v>
      </c>
      <c r="C129" s="2" t="s">
        <v>13</v>
      </c>
      <c r="D129" s="6">
        <v>5</v>
      </c>
      <c r="E129" s="6" t="s">
        <v>29</v>
      </c>
      <c r="F129" s="9">
        <v>12</v>
      </c>
      <c r="G129" s="9">
        <v>4</v>
      </c>
      <c r="H129" s="9">
        <f>IFERROR(log[[#This Row],[Reps]]*log[[#This Row],[Sets]],"")</f>
        <v>48</v>
      </c>
      <c r="I129" s="9">
        <f>IFERROR(log[[#This Row],[Weight Value]]*log[[#This Row],[Reps]]*log[[#This Row],[Sets]],"")</f>
        <v>240</v>
      </c>
      <c r="J129" s="2"/>
    </row>
    <row r="130" spans="1:10" x14ac:dyDescent="0.3">
      <c r="A130" s="16">
        <v>46212</v>
      </c>
      <c r="B130" s="16" t="str">
        <f>TEXT(log[[#This Row],[Date (DAY)]],"dd MMM (ddd)")</f>
        <v>09 Jul (Thu)</v>
      </c>
      <c r="C130" s="2" t="s">
        <v>48</v>
      </c>
      <c r="D130" s="6">
        <v>55</v>
      </c>
      <c r="E130" s="6" t="s">
        <v>29</v>
      </c>
      <c r="F130" s="9">
        <v>12</v>
      </c>
      <c r="G130" s="9">
        <v>4</v>
      </c>
      <c r="H130" s="9">
        <f>IFERROR(log[[#This Row],[Reps]]*log[[#This Row],[Sets]],"")</f>
        <v>48</v>
      </c>
      <c r="I130" s="9">
        <f>IFERROR(log[[#This Row],[Weight Value]]*log[[#This Row],[Reps]]*log[[#This Row],[Sets]],"")</f>
        <v>2640</v>
      </c>
      <c r="J130" s="6" t="s">
        <v>15</v>
      </c>
    </row>
    <row r="131" spans="1:10" x14ac:dyDescent="0.3">
      <c r="A131" s="16">
        <v>46212</v>
      </c>
      <c r="B131" s="16" t="str">
        <f>TEXT(log[[#This Row],[Date (DAY)]],"dd MMM (ddd)")</f>
        <v>09 Jul (Thu)</v>
      </c>
      <c r="C131" s="2" t="s">
        <v>45</v>
      </c>
      <c r="D131" s="6">
        <v>22.5</v>
      </c>
      <c r="E131" s="6" t="s">
        <v>30</v>
      </c>
      <c r="F131" s="9">
        <v>12</v>
      </c>
      <c r="G131" s="9">
        <v>4</v>
      </c>
      <c r="H131" s="9">
        <f>IFERROR(log[[#This Row],[Reps]]*log[[#This Row],[Sets]],"")</f>
        <v>48</v>
      </c>
      <c r="I131" s="9">
        <f>IFERROR(log[[#This Row],[Weight Value]]*log[[#This Row],[Reps]]*log[[#This Row],[Sets]],"")</f>
        <v>1080</v>
      </c>
      <c r="J131" s="2" t="s">
        <v>88</v>
      </c>
    </row>
  </sheetData>
  <phoneticPr fontId="2" type="noConversion"/>
  <dataValidations count="2">
    <dataValidation type="list" allowBlank="1" showInputMessage="1" showErrorMessage="1" sqref="C1:C1048576" xr:uid="{FF80B8CD-F662-4258-96AF-361FB27E978C}">
      <formula1>ExerciseList</formula1>
    </dataValidation>
    <dataValidation type="list" allowBlank="1" showInputMessage="1" showErrorMessage="1" sqref="E1:E1048576" xr:uid="{3616A7ED-FF42-4522-A2E1-66772B85396F}">
      <formula1>UnitList</formula1>
    </dataValidation>
  </dataValidations>
  <pageMargins left="0.75" right="0.75" top="1" bottom="1" header="0.5" footer="0.5"/>
  <headerFooter>
    <oddFooter>&amp;L_x000D_&amp;1#&amp;"Calibri"&amp;8&amp;K000000 [AIA - INTERNAL]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09D81-D661-48F7-9D2B-C12462022015}">
  <dimension ref="A1:AA37"/>
  <sheetViews>
    <sheetView zoomScale="70" zoomScaleNormal="70" workbookViewId="0">
      <selection activeCell="AE37" sqref="AE37"/>
    </sheetView>
  </sheetViews>
  <sheetFormatPr defaultRowHeight="14.4" x14ac:dyDescent="0.3"/>
  <cols>
    <col min="1" max="1" width="13.109375" bestFit="1" customWidth="1"/>
    <col min="2" max="2" width="13.77734375" style="9" bestFit="1" customWidth="1"/>
    <col min="3" max="3" width="13.44140625" style="9" customWidth="1"/>
    <col min="4" max="5" width="8.88671875" bestFit="1" customWidth="1"/>
    <col min="6" max="6" width="2.77734375" bestFit="1" customWidth="1"/>
    <col min="7" max="7" width="4.77734375" bestFit="1" customWidth="1"/>
    <col min="8" max="8" width="2.77734375" bestFit="1" customWidth="1"/>
    <col min="9" max="9" width="4.77734375" bestFit="1" customWidth="1"/>
    <col min="10" max="12" width="2.77734375" bestFit="1" customWidth="1"/>
    <col min="13" max="13" width="4.77734375" bestFit="1" customWidth="1"/>
    <col min="14" max="21" width="2.77734375" bestFit="1" customWidth="1"/>
    <col min="22" max="23" width="3.77734375" bestFit="1" customWidth="1"/>
    <col min="24" max="24" width="4.109375" bestFit="1" customWidth="1"/>
    <col min="25" max="25" width="6.77734375" bestFit="1" customWidth="1"/>
    <col min="26" max="26" width="18.5546875" bestFit="1" customWidth="1"/>
    <col min="28" max="28" width="10.6640625" bestFit="1" customWidth="1"/>
    <col min="30" max="30" width="11.21875" bestFit="1" customWidth="1"/>
  </cols>
  <sheetData>
    <row r="1" spans="1:2" x14ac:dyDescent="0.3">
      <c r="A1" s="20" t="s">
        <v>52</v>
      </c>
      <c r="B1" s="21">
        <f>ROWS(_xlfn.UNIQUE(log[Date (DAY)]))</f>
        <v>15</v>
      </c>
    </row>
    <row r="2" spans="1:2" x14ac:dyDescent="0.3">
      <c r="B2" s="22"/>
    </row>
    <row r="3" spans="1:2" x14ac:dyDescent="0.3">
      <c r="A3" s="19" t="s">
        <v>50</v>
      </c>
      <c r="B3" s="9" t="s">
        <v>57</v>
      </c>
    </row>
    <row r="4" spans="1:2" x14ac:dyDescent="0.3">
      <c r="A4" s="15">
        <v>46161</v>
      </c>
      <c r="B4" s="9">
        <v>180</v>
      </c>
    </row>
    <row r="5" spans="1:2" x14ac:dyDescent="0.3">
      <c r="A5" s="15">
        <v>46163</v>
      </c>
      <c r="B5" s="9">
        <v>10005</v>
      </c>
    </row>
    <row r="6" spans="1:2" x14ac:dyDescent="0.3">
      <c r="A6" s="15">
        <v>46168</v>
      </c>
      <c r="B6" s="9">
        <v>15817</v>
      </c>
    </row>
    <row r="7" spans="1:2" x14ac:dyDescent="0.3">
      <c r="A7" s="15">
        <v>46170</v>
      </c>
      <c r="B7" s="9">
        <v>15420</v>
      </c>
    </row>
    <row r="8" spans="1:2" x14ac:dyDescent="0.3">
      <c r="A8" s="15">
        <v>46178</v>
      </c>
      <c r="B8" s="9">
        <v>10128</v>
      </c>
    </row>
    <row r="9" spans="1:2" x14ac:dyDescent="0.3">
      <c r="A9" s="15">
        <v>46182</v>
      </c>
      <c r="B9" s="9">
        <v>14285</v>
      </c>
    </row>
    <row r="10" spans="1:2" x14ac:dyDescent="0.3">
      <c r="A10" s="15">
        <v>46184</v>
      </c>
      <c r="B10" s="9">
        <v>13310</v>
      </c>
    </row>
    <row r="11" spans="1:2" x14ac:dyDescent="0.3">
      <c r="A11" s="15">
        <v>46189</v>
      </c>
      <c r="B11" s="9">
        <v>13860</v>
      </c>
    </row>
    <row r="12" spans="1:2" x14ac:dyDescent="0.3">
      <c r="A12" s="15">
        <v>46191</v>
      </c>
      <c r="B12" s="9">
        <v>15974</v>
      </c>
    </row>
    <row r="13" spans="1:2" x14ac:dyDescent="0.3">
      <c r="A13" s="15">
        <v>46196</v>
      </c>
      <c r="B13" s="9">
        <v>18806</v>
      </c>
    </row>
    <row r="14" spans="1:2" x14ac:dyDescent="0.3">
      <c r="A14" s="15">
        <v>46198</v>
      </c>
      <c r="B14" s="9">
        <v>21116.799999999999</v>
      </c>
    </row>
    <row r="15" spans="1:2" x14ac:dyDescent="0.3">
      <c r="A15" s="15">
        <v>46202</v>
      </c>
      <c r="B15" s="9">
        <v>19285</v>
      </c>
    </row>
    <row r="16" spans="1:2" x14ac:dyDescent="0.3">
      <c r="A16" s="15">
        <v>46206</v>
      </c>
      <c r="B16" s="9">
        <v>21128</v>
      </c>
    </row>
    <row r="17" spans="1:27" x14ac:dyDescent="0.3">
      <c r="A17" s="15">
        <v>46210</v>
      </c>
      <c r="B17" s="9">
        <v>22960</v>
      </c>
    </row>
    <row r="18" spans="1:27" x14ac:dyDescent="0.3">
      <c r="A18" s="15">
        <v>46212</v>
      </c>
      <c r="B18" s="9">
        <v>14952</v>
      </c>
    </row>
    <row r="19" spans="1:27" x14ac:dyDescent="0.3">
      <c r="A19" s="15" t="s">
        <v>51</v>
      </c>
      <c r="B19" s="9">
        <v>227226.8</v>
      </c>
    </row>
    <row r="20" spans="1:27" x14ac:dyDescent="0.3">
      <c r="A20" s="15"/>
    </row>
    <row r="21" spans="1:27" x14ac:dyDescent="0.3">
      <c r="A21" s="19" t="s">
        <v>50</v>
      </c>
      <c r="B21" s="9" t="s">
        <v>62</v>
      </c>
      <c r="C21" s="9" t="s">
        <v>65</v>
      </c>
    </row>
    <row r="22" spans="1:27" x14ac:dyDescent="0.3">
      <c r="A22" s="15">
        <v>46161</v>
      </c>
      <c r="B22" s="9">
        <v>6</v>
      </c>
      <c r="C22" s="9">
        <v>30</v>
      </c>
    </row>
    <row r="23" spans="1:27" x14ac:dyDescent="0.3">
      <c r="A23" s="15">
        <v>46163</v>
      </c>
      <c r="B23" s="9">
        <v>333.5</v>
      </c>
      <c r="C23" s="9">
        <v>210</v>
      </c>
    </row>
    <row r="24" spans="1:27" x14ac:dyDescent="0.3">
      <c r="A24" s="15">
        <v>46168</v>
      </c>
      <c r="B24" s="9">
        <v>397.5</v>
      </c>
      <c r="C24" s="9">
        <v>276</v>
      </c>
    </row>
    <row r="25" spans="1:27" x14ac:dyDescent="0.3">
      <c r="A25" s="15">
        <v>46170</v>
      </c>
      <c r="B25" s="9">
        <v>467</v>
      </c>
      <c r="C25" s="9">
        <v>350</v>
      </c>
    </row>
    <row r="26" spans="1:27" x14ac:dyDescent="0.3">
      <c r="A26" s="15">
        <v>46178</v>
      </c>
      <c r="B26" s="9">
        <v>357.5</v>
      </c>
      <c r="C26" s="9">
        <v>216</v>
      </c>
    </row>
    <row r="27" spans="1:27" x14ac:dyDescent="0.3">
      <c r="A27" s="15">
        <v>46182</v>
      </c>
      <c r="B27" s="9">
        <v>467.5</v>
      </c>
      <c r="C27" s="9">
        <v>317</v>
      </c>
    </row>
    <row r="28" spans="1:27" x14ac:dyDescent="0.3">
      <c r="A28" s="15">
        <v>46184</v>
      </c>
      <c r="B28" s="9">
        <v>432.5</v>
      </c>
      <c r="C28" s="9">
        <v>288</v>
      </c>
      <c r="AA28" s="3"/>
    </row>
    <row r="29" spans="1:27" x14ac:dyDescent="0.3">
      <c r="A29" s="15">
        <v>46189</v>
      </c>
      <c r="B29" s="9">
        <v>397.5</v>
      </c>
      <c r="C29" s="9">
        <v>308</v>
      </c>
    </row>
    <row r="30" spans="1:27" x14ac:dyDescent="0.3">
      <c r="A30" s="15">
        <v>46191</v>
      </c>
      <c r="B30" s="9">
        <v>459.6</v>
      </c>
      <c r="C30" s="9">
        <v>324</v>
      </c>
    </row>
    <row r="31" spans="1:27" x14ac:dyDescent="0.3">
      <c r="A31" s="15">
        <v>46196</v>
      </c>
      <c r="B31" s="9">
        <v>467.1</v>
      </c>
      <c r="C31" s="9">
        <v>373</v>
      </c>
    </row>
    <row r="32" spans="1:27" x14ac:dyDescent="0.3">
      <c r="A32" s="15">
        <v>46198</v>
      </c>
      <c r="B32" s="9">
        <v>481.1</v>
      </c>
      <c r="C32" s="9">
        <v>384</v>
      </c>
    </row>
    <row r="33" spans="1:3" x14ac:dyDescent="0.3">
      <c r="A33" s="15">
        <v>46202</v>
      </c>
      <c r="B33" s="9">
        <v>504</v>
      </c>
      <c r="C33" s="9">
        <v>332</v>
      </c>
    </row>
    <row r="34" spans="1:3" x14ac:dyDescent="0.3">
      <c r="A34" s="15">
        <v>46206</v>
      </c>
      <c r="B34" s="9">
        <v>531.5</v>
      </c>
      <c r="C34" s="9">
        <v>360</v>
      </c>
    </row>
    <row r="35" spans="1:3" x14ac:dyDescent="0.3">
      <c r="A35" s="15">
        <v>46210</v>
      </c>
      <c r="B35" s="9">
        <v>541.5</v>
      </c>
      <c r="C35" s="9">
        <v>400</v>
      </c>
    </row>
    <row r="36" spans="1:3" x14ac:dyDescent="0.3">
      <c r="A36" s="15">
        <v>46212</v>
      </c>
      <c r="B36" s="9">
        <v>331.5</v>
      </c>
      <c r="C36" s="9">
        <v>368</v>
      </c>
    </row>
    <row r="37" spans="1:3" x14ac:dyDescent="0.3">
      <c r="A37" s="15" t="s">
        <v>51</v>
      </c>
      <c r="B37" s="9">
        <v>6175.3</v>
      </c>
      <c r="C37" s="9">
        <v>4536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409CC-5E9D-4F73-96E5-AFFD2213B1F3}">
  <dimension ref="A1:C10"/>
  <sheetViews>
    <sheetView showGridLines="0" workbookViewId="0">
      <selection activeCell="C26" sqref="C26"/>
    </sheetView>
  </sheetViews>
  <sheetFormatPr defaultRowHeight="14.4" x14ac:dyDescent="0.3"/>
  <cols>
    <col min="1" max="1" width="30.33203125" bestFit="1" customWidth="1"/>
    <col min="2" max="4" width="10.21875" customWidth="1"/>
  </cols>
  <sheetData>
    <row r="1" spans="1:3" x14ac:dyDescent="0.3">
      <c r="A1" t="s">
        <v>71</v>
      </c>
    </row>
    <row r="2" spans="1:3" x14ac:dyDescent="0.3">
      <c r="A2" t="s">
        <v>70</v>
      </c>
    </row>
    <row r="3" spans="1:3" x14ac:dyDescent="0.3">
      <c r="A3" t="s">
        <v>72</v>
      </c>
    </row>
    <row r="5" spans="1:3" x14ac:dyDescent="0.3">
      <c r="A5" t="s">
        <v>73</v>
      </c>
      <c r="B5" t="s">
        <v>74</v>
      </c>
      <c r="C5" t="s">
        <v>75</v>
      </c>
    </row>
    <row r="6" spans="1:3" x14ac:dyDescent="0.3">
      <c r="A6" t="s">
        <v>76</v>
      </c>
      <c r="B6" s="9">
        <v>1</v>
      </c>
      <c r="C6" s="9" t="s">
        <v>77</v>
      </c>
    </row>
    <row r="7" spans="1:3" x14ac:dyDescent="0.3">
      <c r="A7" t="s">
        <v>78</v>
      </c>
      <c r="B7" t="s">
        <v>79</v>
      </c>
      <c r="C7" s="9" t="s">
        <v>80</v>
      </c>
    </row>
    <row r="8" spans="1:3" ht="28.8" x14ac:dyDescent="0.3">
      <c r="A8" t="s">
        <v>81</v>
      </c>
      <c r="B8" s="31" t="s">
        <v>82</v>
      </c>
      <c r="C8" s="32" t="s">
        <v>83</v>
      </c>
    </row>
    <row r="9" spans="1:3" ht="28.8" x14ac:dyDescent="0.3">
      <c r="A9" t="s">
        <v>84</v>
      </c>
      <c r="B9" s="31" t="s">
        <v>82</v>
      </c>
      <c r="C9" s="32" t="s">
        <v>85</v>
      </c>
    </row>
    <row r="10" spans="1:3" x14ac:dyDescent="0.3">
      <c r="A10" t="s">
        <v>86</v>
      </c>
      <c r="B10" s="32">
        <v>1</v>
      </c>
      <c r="C10" s="32" t="s">
        <v>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Calendar</vt:lpstr>
      <vt:lpstr>TAR Gym Log</vt:lpstr>
      <vt:lpstr>Sg Long Gym Log</vt:lpstr>
      <vt:lpstr>Control</vt:lpstr>
      <vt:lpstr>AIA Gym Log</vt:lpstr>
      <vt:lpstr>Dashboard (AIA Data)</vt:lpstr>
      <vt:lpstr>Protein</vt:lpstr>
      <vt:lpstr>'Sg Long Gym Log'!ExerciseList</vt:lpstr>
      <vt:lpstr>'TAR Gym Log'!ExerciseList</vt:lpstr>
      <vt:lpstr>ExerciseList</vt:lpstr>
      <vt:lpstr>'Sg Long Gym Log'!ExerciseListSgLong</vt:lpstr>
      <vt:lpstr>ExerciseListSgLong</vt:lpstr>
      <vt:lpstr>Calendar!Print_Area</vt:lpstr>
      <vt:lpstr>'Sg Long Gym Log'!UnitList</vt:lpstr>
      <vt:lpstr>'TAR Gym Log'!UnitList</vt:lpstr>
      <vt:lpstr>UnitList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Yip, Quan Shen</dc:creator>
  <cp:lastModifiedBy>QS Yip</cp:lastModifiedBy>
  <dcterms:created xsi:type="dcterms:W3CDTF">2026-06-09T05:43:46Z</dcterms:created>
  <dcterms:modified xsi:type="dcterms:W3CDTF">2026-08-01T15:18:47Z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ce0ae7d-b8fe-44ed-a8f3-b165aaa704f8_Enabled">
    <vt:lpwstr>true</vt:lpwstr>
  </property>
  <property fmtid="{D5CDD505-2E9C-101B-9397-08002B2CF9AE}" pid="3" name="MSIP_Label_7ce0ae7d-b8fe-44ed-a8f3-b165aaa704f8_SetDate">
    <vt:lpwstr>2026-06-09T05:58:45Z</vt:lpwstr>
  </property>
  <property fmtid="{D5CDD505-2E9C-101B-9397-08002B2CF9AE}" pid="4" name="MSIP_Label_7ce0ae7d-b8fe-44ed-a8f3-b165aaa704f8_Method">
    <vt:lpwstr>Standard</vt:lpwstr>
  </property>
  <property fmtid="{D5CDD505-2E9C-101B-9397-08002B2CF9AE}" pid="5" name="MSIP_Label_7ce0ae7d-b8fe-44ed-a8f3-b165aaa704f8_Name">
    <vt:lpwstr>Restricted</vt:lpwstr>
  </property>
  <property fmtid="{D5CDD505-2E9C-101B-9397-08002B2CF9AE}" pid="6" name="MSIP_Label_7ce0ae7d-b8fe-44ed-a8f3-b165aaa704f8_SiteId">
    <vt:lpwstr>7f2c1900-9fd4-4b89-91d3-79a649996f0a</vt:lpwstr>
  </property>
  <property fmtid="{D5CDD505-2E9C-101B-9397-08002B2CF9AE}" pid="7" name="MSIP_Label_7ce0ae7d-b8fe-44ed-a8f3-b165aaa704f8_ActionId">
    <vt:lpwstr>30eed4d0-7664-4c81-8c3a-780a756bf88c</vt:lpwstr>
  </property>
  <property fmtid="{D5CDD505-2E9C-101B-9397-08002B2CF9AE}" pid="8" name="MSIP_Label_7ce0ae7d-b8fe-44ed-a8f3-b165aaa704f8_ContentBits">
    <vt:lpwstr>2</vt:lpwstr>
  </property>
  <property fmtid="{D5CDD505-2E9C-101B-9397-08002B2CF9AE}" pid="9" name="MSIP_Label_7ce0ae7d-b8fe-44ed-a8f3-b165aaa704f8_Tag">
    <vt:lpwstr>10, 3, 0, 1</vt:lpwstr>
  </property>
</Properties>
</file>